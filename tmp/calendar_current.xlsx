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ual" sheetId="1" r:id="rId4"/>
    <sheet state="visible" name="work" sheetId="2" r:id="rId5"/>
    <sheet state="visible" name="export" sheetId="3" r:id="rId6"/>
  </sheets>
  <definedNames>
    <definedName hidden="1" localSheetId="1" name="_xlnm._FilterDatabase">work!$A$1:$L$366</definedName>
    <definedName hidden="1" localSheetId="2" name="_xlnm._FilterDatabase">export!$A$1:$B$366</definedName>
  </definedNames>
  <calcPr/>
  <extLst>
    <ext uri="GoogleSheetsCustomDataVersion2">
      <go:sheetsCustomData xmlns:go="http://customooxmlschemas.google.com/" r:id="rId7" roundtripDataChecksum="Z0dtvIua3GLqGTIkzl6QF0WVQ2TT06n4oiSyXmodchw="/>
    </ext>
  </extLst>
</workbook>
</file>

<file path=xl/sharedStrings.xml><?xml version="1.0" encoding="utf-8"?>
<sst xmlns="http://schemas.openxmlformats.org/spreadsheetml/2006/main" count="902" uniqueCount="280">
  <si>
    <r>
      <rPr>
        <rFont val="Arial"/>
        <b/>
        <color rgb="FF000000"/>
        <sz val="11.0"/>
      </rPr>
      <t xml:space="preserve">CAMPUS SEABRA - CALENDÁRIO ACADÊMICO 2026
</t>
    </r>
    <r>
      <rPr>
        <rFont val="Arial"/>
        <b/>
        <color rgb="FF000000"/>
        <sz val="11.0"/>
      </rPr>
      <t>Curso Técnico de Nível Médio</t>
    </r>
  </si>
  <si>
    <r>
      <rPr>
        <rFont val="Arial"/>
        <b/>
        <color theme="1"/>
        <sz val="9.0"/>
      </rPr>
      <t>FEVEREIRO</t>
    </r>
  </si>
  <si>
    <r>
      <rPr>
        <rFont val="Arial"/>
        <b/>
        <color theme="1"/>
        <sz val="9.0"/>
      </rPr>
      <t>MARÇO</t>
    </r>
  </si>
  <si>
    <r>
      <rPr>
        <rFont val="Arial"/>
        <b/>
        <color theme="1"/>
        <sz val="9.0"/>
      </rPr>
      <t>ABRIL</t>
    </r>
  </si>
  <si>
    <r>
      <rPr>
        <rFont val="Arial"/>
        <b/>
        <color theme="1"/>
        <sz val="9.0"/>
      </rPr>
      <t>MAIO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</si>
  <si>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</si>
  <si>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</si>
  <si>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</si>
  <si>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</si>
  <si>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</si>
  <si>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</si>
  <si>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</si>
  <si>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</si>
  <si>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</si>
  <si>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</si>
  <si>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</si>
  <si>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</si>
  <si>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</si>
  <si>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</si>
  <si>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</si>
  <si>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</si>
  <si>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</si>
  <si>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</si>
  <si>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</si>
  <si>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</si>
  <si>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</si>
  <si>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</si>
  <si>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</si>
  <si>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</si>
  <si>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</si>
  <si>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</si>
  <si>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</si>
  <si>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</si>
  <si>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color rgb="FF000000"/>
        <sz val="6.0"/>
      </rPr>
      <t>TD           1        1        1        2        2</t>
    </r>
    <r>
      <rPr>
        <rFont val="Times New Roman"/>
        <color rgb="FF000000"/>
        <sz val="6.0"/>
      </rPr>
      <t xml:space="preserve">         </t>
    </r>
    <r>
      <rPr>
        <rFont val="Arial"/>
        <color rgb="FF000000"/>
        <sz val="6.0"/>
      </rPr>
      <t>0</t>
    </r>
  </si>
  <si>
    <r>
      <rPr>
        <rFont val="Arial"/>
        <color rgb="FF000000"/>
        <sz val="6.0"/>
      </rPr>
      <t>TD            5         5         4         4         4         1        TD             3         3         5         4         3</t>
    </r>
    <r>
      <rPr>
        <rFont val="Times New Roman"/>
        <color rgb="FF000000"/>
        <sz val="6.0"/>
      </rPr>
      <t xml:space="preserve">          </t>
    </r>
    <r>
      <rPr>
        <rFont val="Arial"/>
        <color rgb="FF000000"/>
        <sz val="6.0"/>
      </rPr>
      <t>1</t>
    </r>
  </si>
  <si>
    <r>
      <rPr>
        <rFont val="Arial"/>
        <color rgb="FF000000"/>
        <sz val="6.0"/>
      </rPr>
      <t>TD            4         4         4         3         4</t>
    </r>
    <r>
      <rPr>
        <rFont val="Times New Roman"/>
        <color rgb="FF000000"/>
        <sz val="6.0"/>
      </rPr>
      <t xml:space="preserve">          </t>
    </r>
    <r>
      <rPr>
        <rFont val="Arial"/>
        <color rgb="FF000000"/>
        <sz val="6.0"/>
      </rPr>
      <t>1</t>
    </r>
  </si>
  <si>
    <r>
      <rPr>
        <rFont val="Arial"/>
        <b/>
        <color theme="1"/>
        <sz val="9.0"/>
      </rPr>
      <t>JUNHO</t>
    </r>
  </si>
  <si>
    <r>
      <rPr>
        <rFont val="Arial"/>
        <b/>
        <color theme="1"/>
        <sz val="9.0"/>
      </rPr>
      <t>JULHO</t>
    </r>
  </si>
  <si>
    <r>
      <rPr>
        <rFont val="Arial"/>
        <b/>
        <color theme="1"/>
        <sz val="9.0"/>
      </rPr>
      <t>AGOSTO</t>
    </r>
  </si>
  <si>
    <r>
      <rPr>
        <rFont val="Arial"/>
        <b/>
        <color theme="1"/>
        <sz val="9.0"/>
      </rPr>
      <t>SETEMBRO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</si>
  <si>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</si>
  <si>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</si>
  <si>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</si>
  <si>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</si>
  <si>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</si>
  <si>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</si>
  <si>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</si>
  <si>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</si>
  <si>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</si>
  <si>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</si>
  <si>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</si>
  <si>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</si>
  <si>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</si>
  <si>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</si>
  <si>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</si>
  <si>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</si>
  <si>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</si>
  <si>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</si>
  <si>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</si>
  <si>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</si>
  <si>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</si>
  <si>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</si>
  <si>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</si>
  <si>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</si>
  <si>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</si>
  <si>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</si>
  <si>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</si>
  <si>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</si>
  <si>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color rgb="FF000000"/>
        <sz val="6.0"/>
      </rPr>
      <t>TD           3        3        3        2        3        1        TD            4         4         4         4         4</t>
    </r>
    <r>
      <rPr>
        <rFont val="Times New Roman"/>
        <color rgb="FF000000"/>
        <sz val="6.0"/>
      </rPr>
      <t xml:space="preserve">          </t>
    </r>
    <r>
      <rPr>
        <rFont val="Arial"/>
        <color rgb="FF000000"/>
        <sz val="6.0"/>
      </rPr>
      <t>1</t>
    </r>
  </si>
  <si>
    <r>
      <rPr>
        <rFont val="Arial"/>
        <color rgb="FF000000"/>
        <sz val="6.0"/>
      </rPr>
      <t>TD         3         5         5         4         4</t>
    </r>
    <r>
      <rPr>
        <rFont val="Times New Roman"/>
        <color rgb="FF000000"/>
        <sz val="6.0"/>
      </rPr>
      <t xml:space="preserve">          </t>
    </r>
    <r>
      <rPr>
        <rFont val="Arial"/>
        <color rgb="FF000000"/>
        <sz val="6.0"/>
      </rPr>
      <t>1</t>
    </r>
  </si>
  <si>
    <r>
      <rPr>
        <rFont val="Arial"/>
        <color rgb="FF000000"/>
        <sz val="6.0"/>
      </rPr>
      <t>TD             5         4         4         4         4</t>
    </r>
    <r>
      <rPr>
        <rFont val="Times New Roman"/>
        <color rgb="FF000000"/>
        <sz val="6.0"/>
      </rPr>
      <t xml:space="preserve">          </t>
    </r>
    <r>
      <rPr>
        <rFont val="Arial"/>
        <color rgb="FF000000"/>
        <sz val="6.0"/>
      </rPr>
      <t>1</t>
    </r>
  </si>
  <si>
    <r>
      <rPr>
        <rFont val="Arial"/>
        <b/>
        <color theme="1"/>
        <sz val="9.0"/>
      </rPr>
      <t>OUTUBRO</t>
    </r>
  </si>
  <si>
    <r>
      <rPr>
        <rFont val="Arial"/>
        <b/>
        <color theme="1"/>
        <sz val="9.0"/>
      </rPr>
      <t>NOVEMBRO</t>
    </r>
  </si>
  <si>
    <r>
      <rPr>
        <rFont val="Arial"/>
        <b/>
        <color theme="1"/>
        <sz val="9.0"/>
      </rPr>
      <t>DEZEMBRO</t>
    </r>
  </si>
  <si>
    <r>
      <rPr>
        <rFont val="Arial"/>
        <b/>
        <color theme="1"/>
        <sz val="9.0"/>
      </rPr>
      <t>janeiro 2027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</si>
  <si>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</si>
  <si>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</si>
  <si>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</si>
  <si>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</si>
  <si>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</si>
  <si>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</si>
  <si>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</si>
  <si>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</si>
  <si>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</si>
  <si>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</si>
  <si>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</si>
  <si>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</si>
  <si>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</si>
  <si>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</si>
  <si>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</si>
  <si>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</si>
  <si>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</si>
  <si>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</si>
  <si>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</si>
  <si>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</si>
  <si>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</si>
  <si>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</si>
  <si>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</si>
  <si>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</si>
  <si>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</si>
  <si>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</si>
  <si>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</si>
  <si>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</si>
  <si>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color rgb="FF000000"/>
        <sz val="6.0"/>
      </rPr>
      <t>TD        3        4        3        4        5        1           TD        4         4         4         4         3         1           TD             2         2         3         2         2</t>
    </r>
    <r>
      <rPr>
        <rFont val="Times New Roman"/>
        <color rgb="FF000000"/>
        <sz val="6.0"/>
      </rPr>
      <t xml:space="preserve">          </t>
    </r>
    <r>
      <rPr>
        <rFont val="Arial"/>
        <color rgb="FF000000"/>
        <sz val="6.0"/>
      </rPr>
      <t>0</t>
    </r>
  </si>
  <si>
    <r>
      <rPr>
        <rFont val="Arial"/>
        <color rgb="FF000000"/>
        <sz val="6.0"/>
      </rPr>
      <t>TD            0         0         0         0         0</t>
    </r>
    <r>
      <rPr>
        <rFont val="Times New Roman"/>
        <color rgb="FF000000"/>
        <sz val="6.0"/>
      </rPr>
      <t xml:space="preserve">          </t>
    </r>
    <r>
      <rPr>
        <rFont val="Arial"/>
        <color rgb="FF000000"/>
        <sz val="6.0"/>
      </rPr>
      <t>0</t>
    </r>
  </si>
  <si>
    <r>
      <rPr>
        <rFont val="Arial"/>
        <b/>
        <color theme="1"/>
        <sz val="9.0"/>
      </rPr>
      <t>fevereiro 2027</t>
    </r>
  </si>
  <si>
    <r>
      <rPr>
        <rFont val="Arial"/>
        <b/>
        <color theme="1"/>
        <sz val="9.0"/>
      </rPr>
      <t>D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</si>
  <si>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</si>
  <si>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T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</si>
  <si>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</si>
  <si>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Q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</si>
  <si>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</si>
  <si>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S</t>
    </r>
  </si>
  <si>
    <r>
      <rPr>
        <rFont val="Arial"/>
        <b/>
        <color theme="1"/>
        <sz val="9.0"/>
      </rPr>
      <t>DIA</t>
    </r>
  </si>
  <si>
    <r>
      <rPr>
        <rFont val="Arial"/>
        <b/>
        <color theme="1"/>
        <sz val="9.0"/>
      </rPr>
      <t>QTD</t>
    </r>
  </si>
  <si>
    <r>
      <rPr>
        <rFont val="Arial"/>
        <b/>
        <color theme="1"/>
        <sz val="9.0"/>
      </rPr>
      <t>Mês x Dias</t>
    </r>
  </si>
  <si>
    <r>
      <rPr>
        <rFont val="Arial"/>
        <b/>
        <color theme="1"/>
        <sz val="9.0"/>
      </rPr>
      <t>UNIDADE</t>
    </r>
  </si>
  <si>
    <r>
      <rPr>
        <rFont val="Arial"/>
        <b/>
        <color theme="1"/>
        <sz val="9.0"/>
      </rPr>
      <t>DIAS</t>
    </r>
  </si>
  <si>
    <r>
      <rPr>
        <rFont val="Arial"/>
        <b/>
        <color theme="1"/>
        <sz val="9.0"/>
      </rPr>
      <t>INÍCIO</t>
    </r>
  </si>
  <si>
    <r>
      <rPr>
        <rFont val="Arial"/>
        <b/>
        <color theme="1"/>
        <sz val="9.0"/>
      </rPr>
      <t>FIM</t>
    </r>
  </si>
  <si>
    <r>
      <rPr>
        <rFont val="Arial"/>
        <b/>
        <color theme="1"/>
        <sz val="9.0"/>
      </rPr>
      <t>LEGENDA</t>
    </r>
  </si>
  <si>
    <r>
      <rPr>
        <rFont val="Arial"/>
        <color theme="1"/>
        <sz val="9.0"/>
      </rPr>
      <t>Segunda</t>
    </r>
  </si>
  <si>
    <r>
      <rPr>
        <rFont val="Arial"/>
        <b/>
        <color theme="1"/>
        <sz val="9.0"/>
      </rPr>
      <t>M</t>
    </r>
  </si>
  <si>
    <r>
      <rPr>
        <rFont val="Arial"/>
        <b/>
        <color theme="1"/>
        <sz val="6.0"/>
      </rPr>
      <t>QTD</t>
    </r>
  </si>
  <si>
    <r>
      <rPr>
        <rFont val="Arial"/>
        <b/>
        <color theme="1"/>
        <sz val="9.0"/>
      </rPr>
      <t>M</t>
    </r>
  </si>
  <si>
    <r>
      <rPr>
        <rFont val="Arial"/>
        <b/>
        <color theme="1"/>
        <sz val="6.0"/>
      </rPr>
      <t>QTD</t>
    </r>
  </si>
  <si>
    <r>
      <rPr>
        <rFont val="Arial"/>
        <color theme="1"/>
        <sz val="10.0"/>
      </rPr>
      <t>I</t>
    </r>
  </si>
  <si>
    <r>
      <rPr>
        <rFont val="Arial"/>
        <color theme="1"/>
        <sz val="9.0"/>
      </rPr>
      <t>Dias não letivos</t>
    </r>
  </si>
  <si>
    <r>
      <rPr>
        <rFont val="Arial"/>
        <color theme="1"/>
        <sz val="9.0"/>
      </rPr>
      <t>Terça</t>
    </r>
  </si>
  <si>
    <r>
      <rPr>
        <rFont val="Arial"/>
        <color theme="1"/>
        <sz val="9.0"/>
      </rPr>
      <t>J</t>
    </r>
  </si>
  <si>
    <r>
      <rPr>
        <rFont val="Arial"/>
        <color theme="1"/>
        <sz val="9.0"/>
      </rPr>
      <t>J</t>
    </r>
  </si>
  <si>
    <r>
      <rPr>
        <rFont val="Arial"/>
        <color theme="1"/>
        <sz val="10.0"/>
      </rPr>
      <t>II</t>
    </r>
  </si>
  <si>
    <r>
      <rPr>
        <rFont val="Arial"/>
        <color theme="1"/>
        <sz val="9.0"/>
      </rPr>
      <t>Ponto facultativo</t>
    </r>
  </si>
  <si>
    <r>
      <rPr>
        <rFont val="Arial"/>
        <color theme="1"/>
        <sz val="9.0"/>
      </rPr>
      <t>Quarta</t>
    </r>
  </si>
  <si>
    <r>
      <rPr>
        <rFont val="Arial"/>
        <color theme="1"/>
        <sz val="9.0"/>
      </rPr>
      <t>F</t>
    </r>
  </si>
  <si>
    <r>
      <rPr>
        <rFont val="Arial"/>
        <color theme="1"/>
        <sz val="9.0"/>
      </rPr>
      <t>A</t>
    </r>
  </si>
  <si>
    <r>
      <rPr>
        <rFont val="Arial"/>
        <color theme="1"/>
        <sz val="10.0"/>
      </rPr>
      <t>III</t>
    </r>
  </si>
  <si>
    <r>
      <rPr>
        <rFont val="Arial"/>
        <color theme="1"/>
        <sz val="9.0"/>
      </rPr>
      <t>Férias Docentes</t>
    </r>
  </si>
  <si>
    <r>
      <rPr>
        <rFont val="Arial"/>
        <color theme="1"/>
        <sz val="9.0"/>
      </rPr>
      <t>Quinta</t>
    </r>
  </si>
  <si>
    <r>
      <rPr>
        <rFont val="Arial"/>
        <color theme="1"/>
        <sz val="9.0"/>
      </rPr>
      <t>M</t>
    </r>
  </si>
  <si>
    <r>
      <rPr>
        <rFont val="Arial"/>
        <color theme="1"/>
        <sz val="9.0"/>
      </rPr>
      <t>S</t>
    </r>
  </si>
  <si>
    <r>
      <rPr>
        <rFont val="Arial"/>
        <b/>
        <color theme="1"/>
        <sz val="9.0"/>
      </rPr>
      <t>Total dias</t>
    </r>
  </si>
  <si>
    <r>
      <rPr>
        <rFont val="Arial"/>
        <color theme="1"/>
        <sz val="9.0"/>
      </rPr>
      <t>Inicio do próximo ano</t>
    </r>
  </si>
  <si>
    <r>
      <rPr>
        <rFont val="Arial"/>
        <color theme="1"/>
        <sz val="9.0"/>
      </rPr>
      <t>Feriados</t>
    </r>
  </si>
  <si>
    <r>
      <rPr>
        <rFont val="Arial"/>
        <color theme="1"/>
        <sz val="9.0"/>
      </rPr>
      <t>Sexta</t>
    </r>
  </si>
  <si>
    <r>
      <rPr>
        <rFont val="Arial"/>
        <color theme="1"/>
        <sz val="9.0"/>
      </rPr>
      <t>A</t>
    </r>
  </si>
  <si>
    <r>
      <rPr>
        <rFont val="Arial"/>
        <color theme="1"/>
        <sz val="9.0"/>
      </rPr>
      <t>O</t>
    </r>
  </si>
  <si>
    <r>
      <rPr>
        <rFont val="Arial"/>
        <b/>
        <color theme="1"/>
        <sz val="9.0"/>
      </rPr>
      <t>Total dias</t>
    </r>
  </si>
  <si>
    <r>
      <rPr>
        <rFont val="Arial"/>
        <color theme="1"/>
        <sz val="9.0"/>
      </rPr>
      <t>Jornada Pedagógica</t>
    </r>
  </si>
  <si>
    <r>
      <rPr>
        <rFont val="Arial"/>
        <color theme="1"/>
        <sz val="9.0"/>
      </rPr>
      <t>Sabádo</t>
    </r>
  </si>
  <si>
    <r>
      <rPr>
        <rFont val="Arial"/>
        <color theme="1"/>
        <sz val="9.0"/>
      </rPr>
      <t>M</t>
    </r>
  </si>
  <si>
    <r>
      <rPr>
        <rFont val="Arial"/>
        <color theme="1"/>
        <sz val="9.0"/>
      </rPr>
      <t>N</t>
    </r>
  </si>
  <si>
    <r>
      <rPr>
        <rFont val="Arial"/>
        <color theme="1"/>
        <sz val="9.0"/>
      </rPr>
      <t>Conselho de Classe</t>
    </r>
  </si>
  <si>
    <r>
      <rPr>
        <rFont val="Arial"/>
        <b/>
        <color theme="1"/>
        <sz val="9.0"/>
      </rPr>
      <t>Total dias</t>
    </r>
  </si>
  <si>
    <r>
      <rPr>
        <rFont val="Arial"/>
        <color theme="1"/>
        <sz val="9.0"/>
      </rPr>
      <t>J</t>
    </r>
  </si>
  <si>
    <r>
      <rPr>
        <rFont val="Arial"/>
        <color theme="1"/>
        <sz val="9.0"/>
      </rPr>
      <t>D</t>
    </r>
  </si>
  <si>
    <r>
      <rPr>
        <rFont val="Arial"/>
        <color theme="1"/>
        <sz val="9.0"/>
      </rPr>
      <t>Recesso</t>
    </r>
  </si>
  <si>
    <r>
      <rPr>
        <rFont val="Arial"/>
        <b/>
        <color theme="1"/>
        <sz val="9.0"/>
      </rPr>
      <t>Total</t>
    </r>
  </si>
  <si>
    <r>
      <rPr>
        <rFont val="Arial"/>
        <b/>
        <color theme="1"/>
        <sz val="9.0"/>
      </rPr>
      <t>FERIADOS / PONTOS FACULTATIVOS</t>
    </r>
  </si>
  <si>
    <r>
      <rPr>
        <rFont val="Arial"/>
        <b/>
        <color rgb="FFFF0000"/>
        <sz val="7.0"/>
      </rPr>
      <t>01/01</t>
    </r>
  </si>
  <si>
    <r>
      <rPr>
        <rFont val="Arial"/>
        <color theme="1"/>
        <sz val="7.0"/>
      </rPr>
      <t>Confrat. Universal</t>
    </r>
  </si>
  <si>
    <r>
      <rPr>
        <rFont val="Arial"/>
        <b/>
        <color rgb="FFFF0000"/>
        <sz val="7.0"/>
      </rPr>
      <t>14/05</t>
    </r>
  </si>
  <si>
    <r>
      <rPr>
        <rFont val="Arial"/>
        <color theme="1"/>
        <sz val="7.0"/>
      </rPr>
      <t>Aniversário Seabra</t>
    </r>
  </si>
  <si>
    <r>
      <rPr>
        <rFont val="Arial"/>
        <b/>
        <color rgb="FFFF0000"/>
        <sz val="7.0"/>
      </rPr>
      <t>28/10</t>
    </r>
  </si>
  <si>
    <r>
      <rPr>
        <rFont val="Arial"/>
        <color theme="1"/>
        <sz val="7.0"/>
      </rPr>
      <t>Servidor(a) Público(a)</t>
    </r>
  </si>
  <si>
    <r>
      <rPr>
        <rFont val="Arial"/>
        <b/>
        <color rgb="FFFF0000"/>
        <sz val="6.0"/>
      </rPr>
      <t>16 a 18/02</t>
    </r>
  </si>
  <si>
    <r>
      <rPr>
        <rFont val="Arial"/>
        <color theme="1"/>
        <sz val="7.0"/>
      </rPr>
      <t>Carnaval</t>
    </r>
  </si>
  <si>
    <r>
      <rPr>
        <rFont val="Arial"/>
        <b/>
        <color rgb="FFFF0000"/>
        <sz val="7.0"/>
      </rPr>
      <t>04/06</t>
    </r>
  </si>
  <si>
    <r>
      <rPr>
        <rFont val="Arial"/>
        <color theme="1"/>
        <sz val="7.0"/>
      </rPr>
      <t>Corpus Cristi</t>
    </r>
  </si>
  <si>
    <r>
      <rPr>
        <rFont val="Arial"/>
        <b/>
        <color rgb="FFFF0000"/>
        <sz val="7.0"/>
      </rPr>
      <t>02/11</t>
    </r>
  </si>
  <si>
    <r>
      <rPr>
        <rFont val="Arial"/>
        <color theme="1"/>
        <sz val="7.0"/>
      </rPr>
      <t>Finados</t>
    </r>
  </si>
  <si>
    <r>
      <rPr>
        <rFont val="Arial"/>
        <b/>
        <color rgb="FFFF0000"/>
        <sz val="7.0"/>
      </rPr>
      <t>03/04</t>
    </r>
  </si>
  <si>
    <r>
      <rPr>
        <rFont val="Arial"/>
        <color theme="1"/>
        <sz val="7.0"/>
      </rPr>
      <t>Paixao de Cristo</t>
    </r>
  </si>
  <si>
    <r>
      <rPr>
        <rFont val="Arial"/>
        <b/>
        <color rgb="FFFF0000"/>
        <sz val="7.0"/>
      </rPr>
      <t>02/07</t>
    </r>
  </si>
  <si>
    <r>
      <rPr>
        <rFont val="Arial"/>
        <color theme="1"/>
        <sz val="7.0"/>
      </rPr>
      <t>Independência da Bahia</t>
    </r>
  </si>
  <si>
    <r>
      <rPr>
        <rFont val="Arial"/>
        <b/>
        <color rgb="FFFF0000"/>
        <sz val="7.0"/>
      </rPr>
      <t>15/11</t>
    </r>
  </si>
  <si>
    <r>
      <rPr>
        <rFont val="Arial"/>
        <color theme="1"/>
        <sz val="7.0"/>
      </rPr>
      <t>Proclamação da Republica</t>
    </r>
  </si>
  <si>
    <r>
      <rPr>
        <rFont val="Arial"/>
        <b/>
        <color rgb="FFFF0000"/>
        <sz val="7.0"/>
      </rPr>
      <t>21/04</t>
    </r>
  </si>
  <si>
    <r>
      <rPr>
        <rFont val="Arial"/>
        <color theme="1"/>
        <sz val="7.0"/>
      </rPr>
      <t>Tiradentes</t>
    </r>
  </si>
  <si>
    <r>
      <rPr>
        <rFont val="Arial"/>
        <b/>
        <color rgb="FFFF0000"/>
        <sz val="7.0"/>
      </rPr>
      <t>07/09</t>
    </r>
  </si>
  <si>
    <r>
      <rPr>
        <rFont val="Arial"/>
        <color theme="1"/>
        <sz val="7.0"/>
      </rPr>
      <t>Independência do Brasil</t>
    </r>
  </si>
  <si>
    <r>
      <rPr>
        <rFont val="Arial"/>
        <b/>
        <color rgb="FFFF0000"/>
        <sz val="7.0"/>
      </rPr>
      <t>20/11</t>
    </r>
  </si>
  <si>
    <r>
      <rPr>
        <rFont val="Arial"/>
        <color theme="1"/>
        <sz val="7.0"/>
      </rPr>
      <t>Consciência Negra</t>
    </r>
  </si>
  <si>
    <r>
      <rPr>
        <rFont val="Arial"/>
        <b/>
        <color rgb="FFFF0000"/>
        <sz val="7.0"/>
      </rPr>
      <t>01/05</t>
    </r>
  </si>
  <si>
    <r>
      <rPr>
        <rFont val="Arial"/>
        <color theme="1"/>
        <sz val="7.0"/>
      </rPr>
      <t>Dia do(a) Trabalhador(a)</t>
    </r>
  </si>
  <si>
    <r>
      <rPr>
        <rFont val="Arial"/>
        <b/>
        <color rgb="FFFF0000"/>
        <sz val="7.0"/>
      </rPr>
      <t>12/10</t>
    </r>
  </si>
  <si>
    <r>
      <rPr>
        <rFont val="Arial"/>
        <color theme="1"/>
        <sz val="7.0"/>
      </rPr>
      <t>Padroeira do Brasil</t>
    </r>
  </si>
  <si>
    <r>
      <rPr>
        <rFont val="Arial"/>
        <b/>
        <color rgb="FFFF0000"/>
        <sz val="7.0"/>
      </rPr>
      <t>08/12</t>
    </r>
  </si>
  <si>
    <r>
      <rPr>
        <rFont val="Arial"/>
        <color theme="1"/>
        <sz val="7.0"/>
      </rPr>
      <t>N. Srª da Conceição</t>
    </r>
  </si>
  <si>
    <r>
      <rPr>
        <rFont val="Arial"/>
        <b/>
        <color rgb="FFFF0000"/>
        <sz val="7.0"/>
      </rPr>
      <t>24 a 25/12</t>
    </r>
  </si>
  <si>
    <r>
      <rPr>
        <rFont val="Arial"/>
        <color theme="1"/>
        <sz val="7.0"/>
      </rPr>
      <t>Natal</t>
    </r>
  </si>
  <si>
    <r>
      <rPr>
        <rFont val="Arial"/>
        <b/>
        <color rgb="FF000000"/>
        <sz val="11.0"/>
      </rPr>
      <t xml:space="preserve">CAMPUS SEABRA - CALENDÁRIO ACADÊMICO 2025
</t>
    </r>
    <r>
      <rPr>
        <rFont val="Arial"/>
        <b/>
        <color rgb="FF000000"/>
        <sz val="11.0"/>
      </rPr>
      <t>Curso Técnico de Nível Médio</t>
    </r>
  </si>
  <si>
    <r>
      <rPr>
        <rFont val="Arial"/>
        <b/>
        <color rgb="FFFFFFFF"/>
        <sz val="10.0"/>
      </rPr>
      <t>ATIVIDADES</t>
    </r>
  </si>
  <si>
    <r>
      <rPr>
        <rFont val="Arial"/>
        <b/>
        <color rgb="FFFFFFFF"/>
        <sz val="10.0"/>
      </rPr>
      <t>DATA/PERÍODO</t>
    </r>
  </si>
  <si>
    <r>
      <rPr>
        <rFont val="Arial"/>
        <b/>
        <color rgb="FFFFFFFF"/>
        <sz val="10.0"/>
      </rPr>
      <t>UNIDADE III</t>
    </r>
  </si>
  <si>
    <r>
      <rPr>
        <rFont val="Arial"/>
        <b/>
        <color rgb="FFFFFFFF"/>
        <sz val="10.0"/>
      </rPr>
      <t>DATA/PERÍODO</t>
    </r>
  </si>
  <si>
    <r>
      <rPr>
        <rFont val="Arial"/>
        <color theme="1"/>
        <sz val="8.0"/>
      </rPr>
      <t>Retorno das férias docentes</t>
    </r>
  </si>
  <si>
    <r>
      <rPr>
        <rFont val="Arial"/>
        <color theme="1"/>
        <sz val="8.0"/>
      </rPr>
      <t>Unidade III</t>
    </r>
  </si>
  <si>
    <r>
      <rPr>
        <rFont val="Arial"/>
        <color theme="1"/>
        <sz val="8.0"/>
      </rPr>
      <t>Matrícula Prosel 2024 - 1ª chamada</t>
    </r>
  </si>
  <si>
    <r>
      <rPr>
        <rFont val="Arial"/>
        <color theme="1"/>
        <sz val="8.0"/>
      </rPr>
      <t>Prazo final / registro das notas no suap III Unidade</t>
    </r>
  </si>
  <si>
    <r>
      <rPr>
        <rFont val="Arial"/>
        <color theme="1"/>
        <sz val="8.0"/>
      </rPr>
      <t>Matrícula Prosel 2024 - 2ª chamada</t>
    </r>
  </si>
  <si>
    <r>
      <rPr>
        <rFont val="Arial"/>
        <color theme="1"/>
        <sz val="8.0"/>
      </rPr>
      <t>Conselho Final - Unidade III</t>
    </r>
  </si>
  <si>
    <r>
      <rPr>
        <rFont val="Arial"/>
        <color theme="1"/>
        <sz val="8.0"/>
      </rPr>
      <t>Início do ano letivo</t>
    </r>
  </si>
  <si>
    <r>
      <rPr>
        <rFont val="Arial"/>
        <color theme="1"/>
        <sz val="8.0"/>
      </rPr>
      <t>Entrega do PEI</t>
    </r>
  </si>
  <si>
    <r>
      <rPr>
        <rFont val="Arial"/>
        <color theme="1"/>
        <sz val="8.0"/>
      </rPr>
      <t>Jornada Pedagógica 2025</t>
    </r>
  </si>
  <si>
    <r>
      <rPr>
        <rFont val="Arial"/>
        <color theme="1"/>
        <sz val="8.0"/>
      </rPr>
      <t>Entrega do RADI</t>
    </r>
  </si>
  <si>
    <r>
      <rPr>
        <rFont val="Arial"/>
        <color theme="1"/>
        <sz val="8.0"/>
      </rPr>
      <t>Período de integração do estudante ingresso</t>
    </r>
  </si>
  <si>
    <r>
      <rPr>
        <rFont val="Arial"/>
        <b/>
        <color rgb="FFFFFFFF"/>
        <sz val="10.0"/>
      </rPr>
      <t>EVENTOS</t>
    </r>
  </si>
  <si>
    <r>
      <rPr>
        <rFont val="Arial"/>
        <b/>
        <color rgb="FFFFFFFF"/>
        <sz val="10.0"/>
      </rPr>
      <t>DATA/PERÍODO</t>
    </r>
  </si>
  <si>
    <r>
      <rPr>
        <rFont val="Arial"/>
        <b/>
        <color rgb="FFFFFFFF"/>
        <sz val="10.0"/>
      </rPr>
      <t>MATRICULA</t>
    </r>
  </si>
  <si>
    <r>
      <rPr>
        <rFont val="Arial"/>
        <b/>
        <color rgb="FFFFFFFF"/>
        <sz val="10.0"/>
      </rPr>
      <t>DATA/PERÍODO</t>
    </r>
  </si>
  <si>
    <r>
      <rPr>
        <rFont val="Arial"/>
        <color theme="1"/>
        <sz val="8.0"/>
      </rPr>
      <t>Jornada Pedagógica 2026</t>
    </r>
  </si>
  <si>
    <r>
      <rPr>
        <rFont val="Arial"/>
        <color theme="1"/>
        <sz val="8.0"/>
      </rPr>
      <t>Período para renovação de matrícula</t>
    </r>
  </si>
  <si>
    <r>
      <rPr>
        <rFont val="Arial"/>
        <color theme="1"/>
        <sz val="8.0"/>
      </rPr>
      <t>Mostra de Arte e Cultura</t>
    </r>
  </si>
  <si>
    <r>
      <rPr>
        <rFont val="Arial"/>
        <color theme="1"/>
        <sz val="8.0"/>
      </rPr>
      <t>Período para solicitação de reintegração nos cursos</t>
    </r>
  </si>
  <si>
    <r>
      <rPr>
        <rFont val="Arial"/>
        <color theme="1"/>
        <sz val="8.0"/>
      </rPr>
      <t>Festejos Juninos e Ação Solidária</t>
    </r>
  </si>
  <si>
    <r>
      <rPr>
        <rFont val="Arial"/>
        <color theme="1"/>
        <sz val="8.0"/>
      </rPr>
      <t>Período para solicitação de transferência interna IFBA</t>
    </r>
  </si>
  <si>
    <r>
      <rPr>
        <rFont val="Arial"/>
        <color theme="1"/>
        <sz val="8.0"/>
      </rPr>
      <t>Jogos Interclasse</t>
    </r>
  </si>
  <si>
    <r>
      <rPr>
        <rFont val="Arial"/>
        <color theme="1"/>
        <sz val="8.0"/>
      </rPr>
      <t>Período para soliictação de mudança de turno</t>
    </r>
  </si>
  <si>
    <r>
      <rPr>
        <rFont val="Arial"/>
        <color theme="1"/>
        <sz val="8.0"/>
      </rPr>
      <t>Semana Indígena</t>
    </r>
  </si>
  <si>
    <r>
      <rPr>
        <rFont val="Arial"/>
        <color theme="1"/>
        <sz val="8.0"/>
      </rPr>
      <t>Período para trancamento de matrícula</t>
    </r>
  </si>
  <si>
    <r>
      <rPr>
        <rFont val="Arial"/>
        <color theme="1"/>
        <sz val="8.0"/>
      </rPr>
      <t>Semana Nacional de Ciência e Tecnologia</t>
    </r>
  </si>
  <si>
    <r>
      <rPr>
        <rFont val="Arial"/>
        <b/>
        <color rgb="FFFFFFFF"/>
        <sz val="10.0"/>
      </rPr>
      <t>EDITAIS</t>
    </r>
  </si>
  <si>
    <r>
      <rPr>
        <rFont val="Arial"/>
        <b/>
        <color rgb="FFFFFFFF"/>
        <sz val="10.0"/>
      </rPr>
      <t>DATA/PERÍODO</t>
    </r>
  </si>
  <si>
    <r>
      <rPr>
        <rFont val="Arial"/>
        <color theme="1"/>
        <sz val="8.0"/>
      </rPr>
      <t>Semana Preta</t>
    </r>
  </si>
  <si>
    <r>
      <rPr>
        <rFont val="Arial"/>
        <color theme="1"/>
        <sz val="8.0"/>
      </rPr>
      <t>Pub. Edital para Prog.  Univ. - Assistência Estudantil</t>
    </r>
  </si>
  <si>
    <r>
      <rPr>
        <rFont val="Arial"/>
        <color theme="1"/>
        <sz val="8.0"/>
      </rPr>
      <t>Formatura</t>
    </r>
  </si>
  <si>
    <r>
      <rPr>
        <rFont val="Arial"/>
        <color theme="1"/>
        <sz val="8.0"/>
      </rPr>
      <t>Pub. Edital para Prog. Univ. - Complementares</t>
    </r>
  </si>
  <si>
    <r>
      <rPr>
        <rFont val="Arial"/>
        <b/>
        <color rgb="FFFFFFFF"/>
        <sz val="10.0"/>
      </rPr>
      <t>PROJETOS DE ENSINO</t>
    </r>
  </si>
  <si>
    <r>
      <rPr>
        <rFont val="Arial"/>
        <b/>
        <color rgb="FFFFFFFF"/>
        <sz val="10.0"/>
      </rPr>
      <t>DATA/PERÍODO</t>
    </r>
  </si>
  <si>
    <r>
      <rPr>
        <rFont val="Arial"/>
        <color theme="1"/>
        <sz val="8.0"/>
      </rPr>
      <t>Inscrição no edital de para projetos de ensino</t>
    </r>
  </si>
  <si>
    <r>
      <rPr>
        <rFont val="Arial"/>
        <color theme="1"/>
        <sz val="8.0"/>
      </rPr>
      <t>Combate à violência contra a mulher, combate à homofobia e discussão de gênero</t>
    </r>
  </si>
  <si>
    <r>
      <rPr>
        <rFont val="Arial"/>
        <color theme="1"/>
        <sz val="8.0"/>
      </rPr>
      <t>Publicação de Edital para eventos acadêmicos</t>
    </r>
  </si>
  <si>
    <r>
      <rPr>
        <rFont val="Arial"/>
        <b/>
        <color rgb="FFFFFFFF"/>
        <sz val="10.0"/>
      </rPr>
      <t>UNIDADE I</t>
    </r>
  </si>
  <si>
    <r>
      <rPr>
        <rFont val="Arial"/>
        <b/>
        <color rgb="FFFFFFFF"/>
        <sz val="10.0"/>
      </rPr>
      <t>DATA/PERÍODO</t>
    </r>
  </si>
  <si>
    <r>
      <rPr>
        <rFont val="Arial"/>
        <color theme="1"/>
        <sz val="8.0"/>
      </rPr>
      <t>Meio Ambiente, tecnologias sustentáveis e os desafios no mundo atual</t>
    </r>
  </si>
  <si>
    <r>
      <rPr>
        <rFont val="Arial"/>
        <color theme="1"/>
        <sz val="8.0"/>
      </rPr>
      <t>Unidade I</t>
    </r>
  </si>
  <si>
    <r>
      <rPr>
        <rFont val="Arial"/>
        <color theme="1"/>
        <sz val="8.0"/>
      </rPr>
      <t>Prazo final / registro das notas no suap I Unidade</t>
    </r>
  </si>
  <si>
    <r>
      <rPr>
        <rFont val="Arial"/>
        <color theme="1"/>
        <sz val="8.0"/>
      </rPr>
      <t>Julho das Pretas e a cultura afro como elemento de resistência e superação</t>
    </r>
  </si>
  <si>
    <r>
      <rPr>
        <rFont val="Arial"/>
        <color theme="1"/>
        <sz val="8.0"/>
      </rPr>
      <t>Conselho Diagnóstico / Prognóstico 1 - Unidade I</t>
    </r>
  </si>
  <si>
    <r>
      <rPr>
        <rFont val="Arial"/>
        <color theme="1"/>
        <sz val="8.0"/>
      </rPr>
      <t>Reunião com mães/pais/responsáveis pelos/as estudantes entrega boletim</t>
    </r>
  </si>
  <si>
    <r>
      <rPr>
        <rFont val="Arial"/>
        <color theme="1"/>
        <sz val="8.0"/>
      </rPr>
      <t>Projeto SER-TÃO Inclusivo: acolhimento e respeito à diversidade e à pessoa com deficiência no IFBA Seabra</t>
    </r>
  </si>
  <si>
    <r>
      <rPr>
        <rFont val="Arial"/>
        <color theme="1"/>
        <sz val="8.0"/>
      </rPr>
      <t>Entrega do Plano de Ensino</t>
    </r>
  </si>
  <si>
    <r>
      <rPr>
        <rFont val="Arial"/>
        <color theme="1"/>
        <sz val="8.0"/>
      </rPr>
      <t>Mundos do trabalho: experiências, desafios e atuação do profissional técnico em Meio Ambiente/Informática</t>
    </r>
  </si>
  <si>
    <r>
      <rPr>
        <rFont val="Arial"/>
        <color theme="1"/>
        <sz val="8.0"/>
      </rPr>
      <t>Entrega do PEI</t>
    </r>
  </si>
  <si>
    <r>
      <rPr>
        <rFont val="Arial"/>
        <color theme="1"/>
        <sz val="8.0"/>
      </rPr>
      <t>Entrega do RADI</t>
    </r>
  </si>
  <si>
    <r>
      <rPr>
        <rFont val="Arial"/>
        <color rgb="FF000000"/>
        <sz val="8.0"/>
      </rPr>
      <t xml:space="preserve">Temas transversais ao EMI: Conhecimentos, Saberes,
</t>
    </r>
    <r>
      <rPr>
        <rFont val="Arial"/>
        <color rgb="FF000000"/>
        <sz val="8.0"/>
      </rPr>
      <t>Culturas e Práticas para a Formação Integral do (a) estudante do IFBA- campus Seabra</t>
    </r>
  </si>
  <si>
    <r>
      <rPr>
        <rFont val="Arial"/>
        <color theme="1"/>
        <sz val="8.0"/>
      </rPr>
      <t>Eleição para representante de turma</t>
    </r>
  </si>
  <si>
    <r>
      <rPr>
        <rFont val="Arial"/>
        <b/>
        <color rgb="FFFFFFFF"/>
        <sz val="10.0"/>
      </rPr>
      <t>UNIDADE II</t>
    </r>
  </si>
  <si>
    <r>
      <rPr>
        <rFont val="Arial"/>
        <b/>
        <color rgb="FFFFFFFF"/>
        <sz val="10.0"/>
      </rPr>
      <t>DATA/PERÍODO</t>
    </r>
  </si>
  <si>
    <r>
      <rPr>
        <rFont val="Arial"/>
        <b/>
        <color rgb="FFFFFFFF"/>
        <sz val="10.0"/>
      </rPr>
      <t>Ferias</t>
    </r>
  </si>
  <si>
    <r>
      <rPr>
        <rFont val="Arial"/>
        <b/>
        <color rgb="FFFFFFFF"/>
        <sz val="10.0"/>
      </rPr>
      <t>DATA/PERÍODO</t>
    </r>
  </si>
  <si>
    <r>
      <rPr>
        <rFont val="Arial"/>
        <color theme="1"/>
        <sz val="8.0"/>
      </rPr>
      <t>Unidade II</t>
    </r>
  </si>
  <si>
    <r>
      <rPr>
        <rFont val="Arial"/>
        <color theme="1"/>
        <sz val="8.0"/>
      </rPr>
      <t>1ª Período de férias (12 dias)</t>
    </r>
  </si>
  <si>
    <r>
      <rPr>
        <rFont val="Arial"/>
        <color theme="1"/>
        <sz val="8.0"/>
      </rPr>
      <t>Prazo final / registro das notas no suap II Unidade</t>
    </r>
  </si>
  <si>
    <r>
      <rPr>
        <rFont val="Arial"/>
        <color theme="1"/>
        <sz val="8.0"/>
      </rPr>
      <t>2ª Período de férias (33 dias)</t>
    </r>
  </si>
  <si>
    <r>
      <rPr>
        <rFont val="Arial"/>
        <color theme="1"/>
        <sz val="8.0"/>
      </rPr>
      <t>Conselho Diagnóstico / Prognóstico 2 - Unidade II</t>
    </r>
  </si>
  <si>
    <r>
      <rPr>
        <rFont val="Arial"/>
        <b/>
        <color rgb="FFFFFFFF"/>
        <sz val="10.0"/>
      </rPr>
      <t>PIT/RIT</t>
    </r>
  </si>
  <si>
    <r>
      <rPr>
        <rFont val="Arial"/>
        <b/>
        <color rgb="FFFFFFFF"/>
        <sz val="10.0"/>
      </rPr>
      <t>DATA/PERÍODO</t>
    </r>
  </si>
  <si>
    <r>
      <rPr>
        <rFont val="Arial"/>
        <color theme="1"/>
        <sz val="8.0"/>
      </rPr>
      <t>Reunião com mães/pais/responsáveis pelos/as estudantes entrega boletim</t>
    </r>
  </si>
  <si>
    <r>
      <rPr>
        <rFont val="Arial"/>
        <color theme="1"/>
        <sz val="8.0"/>
      </rPr>
      <t>Entrega do PIT 2025.1 e RIT 2024.2</t>
    </r>
  </si>
  <si>
    <r>
      <rPr>
        <rFont val="Arial"/>
        <color theme="1"/>
        <sz val="8.0"/>
      </rPr>
      <t>Entrega do RIT 2025.1</t>
    </r>
  </si>
  <si>
    <r>
      <rPr>
        <rFont val="Arial"/>
        <color theme="1"/>
        <sz val="8.0"/>
      </rPr>
      <t>Entrega do PEI</t>
    </r>
  </si>
  <si>
    <r>
      <rPr>
        <rFont val="Arial"/>
        <color theme="1"/>
        <sz val="8.0"/>
      </rPr>
      <t>Entrega do PIT 2025.2</t>
    </r>
  </si>
  <si>
    <r>
      <rPr>
        <rFont val="Arial"/>
        <color theme="1"/>
        <sz val="8.0"/>
      </rPr>
      <t>Entrega do RADI</t>
    </r>
  </si>
  <si>
    <r>
      <rPr>
        <rFont val="Arial"/>
        <color theme="1"/>
        <sz val="8.0"/>
      </rPr>
      <t>Entrega do RIT 2025.2</t>
    </r>
  </si>
  <si>
    <t>data</t>
  </si>
  <si>
    <t>dia</t>
  </si>
  <si>
    <t>dia_semana</t>
  </si>
  <si>
    <t>e_dia_de_semana</t>
  </si>
  <si>
    <t>sabados_letivos</t>
  </si>
  <si>
    <t>feriado</t>
  </si>
  <si>
    <t>ponto_facultativo</t>
  </si>
  <si>
    <t>ferias</t>
  </si>
  <si>
    <t>jornada_pedagogica</t>
  </si>
  <si>
    <t>conselho_classe</t>
  </si>
  <si>
    <t>letivo</t>
  </si>
  <si>
    <t>observacao</t>
  </si>
  <si>
    <t>sim</t>
  </si>
  <si>
    <t>nao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</si>
</sst>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;[Red]0"/>
    <numFmt numFmtId="165" formatCode="dd/mm/yyyy"/>
    <numFmt numFmtId="166" formatCode="dd/MM/yyyy"/>
  </numFmts>
  <fonts count="20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10.0"/>
      <color rgb="FF000000"/>
      <name val="Arial"/>
    </font>
    <font/>
    <font>
      <b/>
      <sz val="9.0"/>
      <color theme="1"/>
      <name val="Arial"/>
    </font>
    <font>
      <sz val="10.0"/>
      <color rgb="FF000000"/>
      <name val="Arial"/>
    </font>
    <font>
      <sz val="10.0"/>
      <color rgb="FFFF0000"/>
      <name val="Arial"/>
    </font>
    <font>
      <sz val="10.0"/>
      <color rgb="FFFFFFFF"/>
      <name val="Arial"/>
    </font>
    <font>
      <sz val="9.0"/>
      <color theme="1"/>
      <name val="Arial"/>
    </font>
    <font>
      <sz val="9.0"/>
      <color rgb="FF000000"/>
      <name val="Arial"/>
    </font>
    <font>
      <b/>
      <sz val="6.0"/>
      <color theme="1"/>
      <name val="Arial"/>
    </font>
    <font>
      <sz val="10.0"/>
      <color theme="1"/>
      <name val="Arial"/>
    </font>
    <font>
      <b/>
      <sz val="9.0"/>
      <color rgb="FF000000"/>
      <name val="Arial"/>
    </font>
    <font>
      <b/>
      <sz val="7.0"/>
      <color theme="1"/>
      <name val="Arial"/>
    </font>
    <font>
      <sz val="7.0"/>
      <color theme="1"/>
      <name val="Arial"/>
    </font>
    <font>
      <b/>
      <sz val="10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sz val="8.0"/>
      <color rgb="FFFF0000"/>
      <name val="Arial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E69137"/>
        <bgColor rgb="FFE69137"/>
      </patternFill>
    </fill>
    <fill>
      <patternFill patternType="solid">
        <fgColor rgb="FFB6D7A8"/>
        <bgColor rgb="FFB6D7A8"/>
      </patternFill>
    </fill>
    <fill>
      <patternFill patternType="solid">
        <fgColor rgb="FFA4C1F4"/>
        <bgColor rgb="FFA4C1F4"/>
      </patternFill>
    </fill>
    <fill>
      <patternFill patternType="solid">
        <fgColor rgb="FF9FC5E7"/>
        <bgColor rgb="FF9FC5E7"/>
      </patternFill>
    </fill>
    <fill>
      <patternFill patternType="solid">
        <fgColor rgb="FF4472C4"/>
        <bgColor rgb="FF4472C4"/>
      </patternFill>
    </fill>
    <fill>
      <patternFill patternType="solid">
        <fgColor rgb="FF3C78D8"/>
        <bgColor rgb="FF3C78D8"/>
      </patternFill>
    </fill>
    <fill>
      <patternFill patternType="solid">
        <fgColor rgb="FFDD7E6B"/>
        <bgColor rgb="FFDD7E6B"/>
      </patternFill>
    </fill>
    <fill>
      <patternFill patternType="solid">
        <fgColor rgb="FF37761C"/>
        <bgColor rgb="FF37761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4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center" wrapText="1"/>
    </xf>
    <xf borderId="1" fillId="2" fontId="2" numFmtId="1" xfId="0" applyAlignment="1" applyBorder="1" applyFill="1" applyFont="1" applyNumberFormat="1">
      <alignment horizontal="center" shrinkToFit="1" vertical="top" wrapText="0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bottom" wrapText="1"/>
    </xf>
    <xf borderId="4" fillId="3" fontId="4" numFmtId="0" xfId="0" applyAlignment="1" applyBorder="1" applyFill="1" applyFont="1">
      <alignment horizontal="left" shrinkToFit="0" vertical="top" wrapText="1"/>
    </xf>
    <xf borderId="5" fillId="0" fontId="3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vertical="top"/>
    </xf>
    <xf borderId="4" fillId="3" fontId="4" numFmtId="0" xfId="0" applyAlignment="1" applyBorder="1" applyFont="1">
      <alignment horizontal="center" shrinkToFit="0" vertical="top" wrapText="1"/>
    </xf>
    <xf borderId="7" fillId="3" fontId="4" numFmtId="0" xfId="0" applyAlignment="1" applyBorder="1" applyFont="1">
      <alignment horizontal="center" shrinkToFit="0" vertical="top" wrapText="1"/>
    </xf>
    <xf borderId="8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top" wrapText="1"/>
    </xf>
    <xf borderId="7" fillId="0" fontId="5" numFmtId="1" xfId="0" applyAlignment="1" applyBorder="1" applyFont="1" applyNumberFormat="1">
      <alignment horizontal="center" shrinkToFit="1" vertical="top" wrapText="0"/>
    </xf>
    <xf borderId="8" fillId="0" fontId="5" numFmtId="1" xfId="0" applyAlignment="1" applyBorder="1" applyFont="1" applyNumberFormat="1">
      <alignment horizontal="center" shrinkToFit="1" vertical="top" wrapText="0"/>
    </xf>
    <xf borderId="9" fillId="0" fontId="5" numFmtId="1" xfId="0" applyAlignment="1" applyBorder="1" applyFont="1" applyNumberFormat="1">
      <alignment horizontal="center" shrinkToFit="1" vertical="top" wrapText="0"/>
    </xf>
    <xf borderId="7" fillId="0" fontId="6" numFmtId="164" xfId="0" applyAlignment="1" applyBorder="1" applyFont="1" applyNumberFormat="1">
      <alignment horizontal="center" shrinkToFit="1" vertical="top" wrapText="0"/>
    </xf>
    <xf borderId="8" fillId="4" fontId="5" numFmtId="1" xfId="0" applyAlignment="1" applyBorder="1" applyFill="1" applyFont="1" applyNumberFormat="1">
      <alignment horizontal="center" shrinkToFit="1" vertical="top" wrapText="0"/>
    </xf>
    <xf borderId="7" fillId="0" fontId="1" numFmtId="0" xfId="0" applyAlignment="1" applyBorder="1" applyFont="1">
      <alignment horizontal="left" shrinkToFit="0" vertical="bottom" wrapText="1"/>
    </xf>
    <xf borderId="8" fillId="0" fontId="1" numFmtId="0" xfId="0" applyAlignment="1" applyBorder="1" applyFont="1">
      <alignment horizontal="left" shrinkToFit="0" vertical="bottom" wrapText="1"/>
    </xf>
    <xf borderId="8" fillId="5" fontId="7" numFmtId="1" xfId="0" applyAlignment="1" applyBorder="1" applyFill="1" applyFont="1" applyNumberFormat="1">
      <alignment horizontal="center" shrinkToFit="1" vertical="top" wrapText="0"/>
    </xf>
    <xf borderId="8" fillId="6" fontId="5" numFmtId="1" xfId="0" applyAlignment="1" applyBorder="1" applyFill="1" applyFont="1" applyNumberFormat="1">
      <alignment horizontal="center" shrinkToFit="1" vertical="top" wrapText="0"/>
    </xf>
    <xf borderId="8" fillId="7" fontId="5" numFmtId="1" xfId="0" applyAlignment="1" applyBorder="1" applyFill="1" applyFont="1" applyNumberFormat="1">
      <alignment horizontal="center" shrinkToFit="1" vertical="top" wrapText="0"/>
    </xf>
    <xf borderId="8" fillId="8" fontId="7" numFmtId="1" xfId="0" applyAlignment="1" applyBorder="1" applyFill="1" applyFont="1" applyNumberFormat="1">
      <alignment horizontal="center" shrinkToFit="1" vertical="top" wrapText="0"/>
    </xf>
    <xf borderId="9" fillId="4" fontId="5" numFmtId="1" xfId="0" applyAlignment="1" applyBorder="1" applyFont="1" applyNumberFormat="1">
      <alignment horizontal="center" shrinkToFit="1" vertical="top" wrapText="0"/>
    </xf>
    <xf borderId="10" fillId="0" fontId="6" numFmtId="164" xfId="0" applyAlignment="1" applyBorder="1" applyFont="1" applyNumberFormat="1">
      <alignment horizontal="center" shrinkToFit="1" vertical="top" wrapText="0"/>
    </xf>
    <xf borderId="11" fillId="4" fontId="5" numFmtId="1" xfId="0" applyAlignment="1" applyBorder="1" applyFont="1" applyNumberFormat="1">
      <alignment horizontal="center" shrinkToFit="1" vertical="top" wrapText="0"/>
    </xf>
    <xf borderId="12" fillId="0" fontId="5" numFmtId="1" xfId="0" applyAlignment="1" applyBorder="1" applyFont="1" applyNumberFormat="1">
      <alignment horizontal="center" shrinkToFit="1" vertical="top" wrapText="0"/>
    </xf>
    <xf borderId="13" fillId="0" fontId="6" numFmtId="164" xfId="0" applyAlignment="1" applyBorder="1" applyFont="1" applyNumberFormat="1">
      <alignment horizontal="left" shrinkToFit="1" vertical="top" wrapText="0"/>
    </xf>
    <xf borderId="14" fillId="4" fontId="5" numFmtId="1" xfId="0" applyAlignment="1" applyBorder="1" applyFont="1" applyNumberFormat="1">
      <alignment horizontal="left" shrinkToFit="1" vertical="top" wrapText="0"/>
    </xf>
    <xf borderId="14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5" fillId="0" fontId="5" numFmtId="1" xfId="0" applyAlignment="1" applyBorder="1" applyFont="1" applyNumberFormat="1">
      <alignment horizontal="left" shrinkToFit="1" vertical="top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16" fillId="0" fontId="3" numFmtId="0" xfId="0" applyAlignment="1" applyBorder="1" applyFont="1">
      <alignment horizontal="left" vertical="top"/>
    </xf>
    <xf borderId="17" fillId="0" fontId="3" numFmtId="0" xfId="0" applyAlignment="1" applyBorder="1" applyFont="1">
      <alignment horizontal="left" vertical="top"/>
    </xf>
    <xf borderId="18" fillId="0" fontId="3" numFmtId="0" xfId="0" applyAlignment="1" applyBorder="1" applyFont="1">
      <alignment horizontal="left" vertical="top"/>
    </xf>
    <xf borderId="19" fillId="0" fontId="3" numFmtId="0" xfId="0" applyAlignment="1" applyBorder="1" applyFont="1">
      <alignment horizontal="left" vertical="top"/>
    </xf>
    <xf borderId="20" fillId="0" fontId="3" numFmtId="0" xfId="0" applyAlignment="1" applyBorder="1" applyFont="1">
      <alignment horizontal="left" vertical="top"/>
    </xf>
    <xf borderId="21" fillId="0" fontId="3" numFmtId="0" xfId="0" applyAlignment="1" applyBorder="1" applyFont="1">
      <alignment horizontal="left" vertical="top"/>
    </xf>
    <xf borderId="22" fillId="0" fontId="3" numFmtId="0" xfId="0" applyAlignment="1" applyBorder="1" applyFont="1">
      <alignment horizontal="left" vertical="top"/>
    </xf>
    <xf borderId="23" fillId="0" fontId="3" numFmtId="0" xfId="0" applyAlignment="1" applyBorder="1" applyFont="1">
      <alignment horizontal="left" vertical="top"/>
    </xf>
    <xf borderId="24" fillId="0" fontId="3" numFmtId="0" xfId="0" applyAlignment="1" applyBorder="1" applyFont="1">
      <alignment horizontal="left" vertical="top"/>
    </xf>
    <xf borderId="0" fillId="0" fontId="1" numFmtId="0" xfId="0" applyAlignment="1" applyFont="1">
      <alignment horizontal="right" shrinkToFit="0" vertical="top" wrapText="1"/>
    </xf>
    <xf borderId="25" fillId="0" fontId="1" numFmtId="0" xfId="0" applyAlignment="1" applyBorder="1" applyFont="1">
      <alignment horizontal="left" shrinkToFit="0" vertical="center" wrapText="1"/>
    </xf>
    <xf borderId="26" fillId="0" fontId="3" numFmtId="0" xfId="0" applyAlignment="1" applyBorder="1" applyFont="1">
      <alignment horizontal="left" vertical="top"/>
    </xf>
    <xf borderId="8" fillId="9" fontId="5" numFmtId="1" xfId="0" applyAlignment="1" applyBorder="1" applyFill="1" applyFont="1" applyNumberFormat="1">
      <alignment horizontal="center" shrinkToFit="1" vertical="top" wrapText="0"/>
    </xf>
    <xf borderId="8" fillId="10" fontId="5" numFmtId="1" xfId="0" applyAlignment="1" applyBorder="1" applyFill="1" applyFont="1" applyNumberFormat="1">
      <alignment horizontal="center" shrinkToFit="1" vertical="top" wrapText="0"/>
    </xf>
    <xf borderId="9" fillId="9" fontId="5" numFmtId="1" xfId="0" applyAlignment="1" applyBorder="1" applyFont="1" applyNumberFormat="1">
      <alignment horizontal="center" shrinkToFit="1" vertical="top" wrapText="0"/>
    </xf>
    <xf borderId="27" fillId="0" fontId="1" numFmtId="0" xfId="0" applyAlignment="1" applyBorder="1" applyFont="1">
      <alignment horizontal="left" shrinkToFit="0" vertical="bottom" wrapText="1"/>
    </xf>
    <xf borderId="8" fillId="11" fontId="2" numFmtId="1" xfId="0" applyAlignment="1" applyBorder="1" applyFill="1" applyFont="1" applyNumberFormat="1">
      <alignment horizontal="center" shrinkToFit="1" vertical="top" wrapText="0"/>
    </xf>
    <xf borderId="28" fillId="0" fontId="1" numFmtId="0" xfId="0" applyAlignment="1" applyBorder="1" applyFont="1">
      <alignment horizontal="left" shrinkToFit="0" vertical="top" wrapText="1"/>
    </xf>
    <xf borderId="8" fillId="12" fontId="5" numFmtId="1" xfId="0" applyAlignment="1" applyBorder="1" applyFill="1" applyFont="1" applyNumberFormat="1">
      <alignment horizontal="center" shrinkToFit="1" vertical="top" wrapText="0"/>
    </xf>
    <xf borderId="9" fillId="13" fontId="5" numFmtId="1" xfId="0" applyAlignment="1" applyBorder="1" applyFill="1" applyFont="1" applyNumberFormat="1">
      <alignment horizontal="center" shrinkToFit="1" vertical="top" wrapText="0"/>
    </xf>
    <xf borderId="9" fillId="11" fontId="2" numFmtId="1" xfId="0" applyAlignment="1" applyBorder="1" applyFont="1" applyNumberFormat="1">
      <alignment horizontal="center" shrinkToFit="1" vertical="top" wrapText="0"/>
    </xf>
    <xf borderId="29" fillId="0" fontId="3" numFmtId="0" xfId="0" applyAlignment="1" applyBorder="1" applyFont="1">
      <alignment horizontal="left" vertical="top"/>
    </xf>
    <xf borderId="10" fillId="11" fontId="6" numFmtId="164" xfId="0" applyAlignment="1" applyBorder="1" applyFont="1" applyNumberFormat="1">
      <alignment horizontal="center" shrinkToFit="1" vertical="top" wrapText="0"/>
    </xf>
    <xf borderId="11" fillId="11" fontId="2" numFmtId="1" xfId="0" applyAlignment="1" applyBorder="1" applyFont="1" applyNumberFormat="1">
      <alignment horizontal="center" shrinkToFit="1" vertical="top" wrapText="0"/>
    </xf>
    <xf borderId="11" fillId="0" fontId="1" numFmtId="0" xfId="0" applyAlignment="1" applyBorder="1" applyFont="1">
      <alignment horizontal="left" shrinkToFit="0" vertical="bottom" wrapText="1"/>
    </xf>
    <xf borderId="12" fillId="0" fontId="1" numFmtId="0" xfId="0" applyAlignment="1" applyBorder="1" applyFont="1">
      <alignment horizontal="left" shrinkToFit="0" vertical="bottom" wrapText="1"/>
    </xf>
    <xf borderId="11" fillId="9" fontId="5" numFmtId="1" xfId="0" applyAlignment="1" applyBorder="1" applyFont="1" applyNumberFormat="1">
      <alignment horizontal="center" shrinkToFit="1" vertical="top" wrapText="0"/>
    </xf>
    <xf borderId="11" fillId="12" fontId="5" numFmtId="1" xfId="0" applyAlignment="1" applyBorder="1" applyFont="1" applyNumberFormat="1">
      <alignment horizontal="center" shrinkToFit="1" vertical="top" wrapText="0"/>
    </xf>
    <xf borderId="14" fillId="9" fontId="5" numFmtId="1" xfId="0" applyAlignment="1" applyBorder="1" applyFont="1" applyNumberFormat="1">
      <alignment horizontal="left" shrinkToFit="1" vertical="top" wrapText="0"/>
    </xf>
    <xf borderId="8" fillId="11" fontId="5" numFmtId="1" xfId="0" applyAlignment="1" applyBorder="1" applyFont="1" applyNumberFormat="1">
      <alignment horizontal="center" shrinkToFit="1" vertical="top" wrapText="0"/>
    </xf>
    <xf borderId="9" fillId="11" fontId="5" numFmtId="1" xfId="0" applyAlignment="1" applyBorder="1" applyFont="1" applyNumberFormat="1">
      <alignment horizontal="center" shrinkToFit="1" vertical="top" wrapText="0"/>
    </xf>
    <xf borderId="9" fillId="12" fontId="5" numFmtId="1" xfId="0" applyAlignment="1" applyBorder="1" applyFont="1" applyNumberFormat="1">
      <alignment horizontal="center" shrinkToFit="1" vertical="top" wrapText="0"/>
    </xf>
    <xf borderId="7" fillId="5" fontId="7" numFmtId="1" xfId="0" applyAlignment="1" applyBorder="1" applyFont="1" applyNumberFormat="1">
      <alignment horizontal="center" shrinkToFit="1" vertical="top" wrapText="0"/>
    </xf>
    <xf borderId="8" fillId="14" fontId="5" numFmtId="1" xfId="0" applyAlignment="1" applyBorder="1" applyFill="1" applyFont="1" applyNumberFormat="1">
      <alignment horizontal="center" shrinkToFit="1" vertical="top" wrapText="0"/>
    </xf>
    <xf borderId="7" fillId="11" fontId="6" numFmtId="164" xfId="0" applyAlignment="1" applyBorder="1" applyFont="1" applyNumberFormat="1">
      <alignment horizontal="center" shrinkToFit="1" vertical="top" wrapText="0"/>
    </xf>
    <xf borderId="11" fillId="5" fontId="7" numFmtId="1" xfId="0" applyAlignment="1" applyBorder="1" applyFont="1" applyNumberFormat="1">
      <alignment horizontal="center" shrinkToFit="1" vertical="top" wrapText="0"/>
    </xf>
    <xf borderId="11" fillId="0" fontId="5" numFmtId="1" xfId="0" applyAlignment="1" applyBorder="1" applyFont="1" applyNumberFormat="1">
      <alignment horizontal="center" shrinkToFit="1" vertical="top" wrapText="0"/>
    </xf>
    <xf borderId="13" fillId="11" fontId="6" numFmtId="164" xfId="0" applyAlignment="1" applyBorder="1" applyFont="1" applyNumberFormat="1">
      <alignment horizontal="left" shrinkToFit="1" vertical="top" wrapText="0"/>
    </xf>
    <xf borderId="30" fillId="3" fontId="4" numFmtId="0" xfId="0" applyAlignment="1" applyBorder="1" applyFont="1">
      <alignment horizontal="center" shrinkToFit="0" vertical="top" wrapText="1"/>
    </xf>
    <xf borderId="31" fillId="0" fontId="3" numFmtId="0" xfId="0" applyAlignment="1" applyBorder="1" applyFont="1">
      <alignment horizontal="left" vertical="top"/>
    </xf>
    <xf borderId="32" fillId="0" fontId="3" numFmtId="0" xfId="0" applyAlignment="1" applyBorder="1" applyFont="1">
      <alignment horizontal="left" vertical="top"/>
    </xf>
    <xf borderId="30" fillId="3" fontId="4" numFmtId="0" xfId="0" applyAlignment="1" applyBorder="1" applyFont="1">
      <alignment horizontal="left" shrinkToFit="0" vertical="top" wrapText="1"/>
    </xf>
    <xf borderId="30" fillId="0" fontId="8" numFmtId="0" xfId="0" applyAlignment="1" applyBorder="1" applyFont="1">
      <alignment horizontal="left" shrinkToFit="0" vertical="top" wrapText="1"/>
    </xf>
    <xf borderId="30" fillId="0" fontId="9" numFmtId="1" xfId="0" applyAlignment="1" applyBorder="1" applyFont="1" applyNumberFormat="1">
      <alignment horizontal="left" shrinkToFit="1" vertical="top" wrapText="0"/>
    </xf>
    <xf borderId="33" fillId="3" fontId="4" numFmtId="0" xfId="0" applyAlignment="1" applyBorder="1" applyFont="1">
      <alignment horizontal="center" shrinkToFit="0" vertical="top" wrapText="1"/>
    </xf>
    <xf borderId="33" fillId="3" fontId="10" numFmtId="0" xfId="0" applyAlignment="1" applyBorder="1" applyFont="1">
      <alignment horizontal="center" shrinkToFit="0" vertical="top" wrapText="1"/>
    </xf>
    <xf borderId="30" fillId="4" fontId="11" numFmtId="0" xfId="0" applyAlignment="1" applyBorder="1" applyFont="1">
      <alignment horizontal="center" shrinkToFit="0" vertical="top" wrapText="1"/>
    </xf>
    <xf borderId="30" fillId="4" fontId="9" numFmtId="1" xfId="0" applyAlignment="1" applyBorder="1" applyFont="1" applyNumberFormat="1">
      <alignment horizontal="center" shrinkToFit="1" vertical="top" wrapText="0"/>
    </xf>
    <xf borderId="30" fillId="4" fontId="9" numFmtId="165" xfId="0" applyAlignment="1" applyBorder="1" applyFont="1" applyNumberFormat="1">
      <alignment horizontal="left" shrinkToFit="1" vertical="top" wrapText="0"/>
    </xf>
    <xf borderId="33" fillId="0" fontId="1" numFmtId="0" xfId="0" applyAlignment="1" applyBorder="1" applyFont="1">
      <alignment horizontal="left" shrinkToFit="0" vertical="bottom" wrapText="1"/>
    </xf>
    <xf borderId="33" fillId="0" fontId="8" numFmtId="0" xfId="0" applyAlignment="1" applyBorder="1" applyFont="1">
      <alignment horizontal="center" shrinkToFit="0" vertical="top" wrapText="1"/>
    </xf>
    <xf borderId="33" fillId="0" fontId="9" numFmtId="1" xfId="0" applyAlignment="1" applyBorder="1" applyFont="1" applyNumberFormat="1">
      <alignment horizontal="center" shrinkToFit="1" vertical="top" wrapText="0"/>
    </xf>
    <xf borderId="30" fillId="9" fontId="11" numFmtId="0" xfId="0" applyAlignment="1" applyBorder="1" applyFont="1">
      <alignment horizontal="center" shrinkToFit="0" vertical="top" wrapText="1"/>
    </xf>
    <xf borderId="30" fillId="9" fontId="9" numFmtId="1" xfId="0" applyAlignment="1" applyBorder="1" applyFont="1" applyNumberFormat="1">
      <alignment horizontal="center" shrinkToFit="1" vertical="top" wrapText="0"/>
    </xf>
    <xf borderId="30" fillId="9" fontId="9" numFmtId="165" xfId="0" applyAlignment="1" applyBorder="1" applyFont="1" applyNumberFormat="1">
      <alignment horizontal="left" shrinkToFit="1" vertical="top" wrapText="0"/>
    </xf>
    <xf borderId="33" fillId="10" fontId="1" numFmtId="0" xfId="0" applyAlignment="1" applyBorder="1" applyFont="1">
      <alignment horizontal="left" shrinkToFit="0" vertical="bottom" wrapText="1"/>
    </xf>
    <xf borderId="30" fillId="12" fontId="11" numFmtId="0" xfId="0" applyAlignment="1" applyBorder="1" applyFont="1">
      <alignment horizontal="center" shrinkToFit="0" vertical="top" wrapText="1"/>
    </xf>
    <xf borderId="30" fillId="12" fontId="9" numFmtId="1" xfId="0" applyAlignment="1" applyBorder="1" applyFont="1" applyNumberFormat="1">
      <alignment horizontal="center" shrinkToFit="1" vertical="top" wrapText="0"/>
    </xf>
    <xf borderId="30" fillId="12" fontId="9" numFmtId="165" xfId="0" applyAlignment="1" applyBorder="1" applyFont="1" applyNumberFormat="1">
      <alignment horizontal="left" shrinkToFit="1" vertical="top" wrapText="0"/>
    </xf>
    <xf borderId="33" fillId="11" fontId="1" numFmtId="0" xfId="0" applyAlignment="1" applyBorder="1" applyFont="1">
      <alignment horizontal="left" shrinkToFit="0" vertical="bottom" wrapText="1"/>
    </xf>
    <xf borderId="34" fillId="0" fontId="4" numFmtId="0" xfId="0" applyAlignment="1" applyBorder="1" applyFont="1">
      <alignment horizontal="left" shrinkToFit="0" vertical="top" wrapText="1"/>
    </xf>
    <xf borderId="35" fillId="0" fontId="3" numFmtId="0" xfId="0" applyAlignment="1" applyBorder="1" applyFont="1">
      <alignment horizontal="left" vertical="top"/>
    </xf>
    <xf borderId="36" fillId="0" fontId="3" numFmtId="0" xfId="0" applyAlignment="1" applyBorder="1" applyFont="1">
      <alignment horizontal="left" vertical="top"/>
    </xf>
    <xf borderId="34" fillId="0" fontId="12" numFmtId="1" xfId="0" applyAlignment="1" applyBorder="1" applyFont="1" applyNumberFormat="1">
      <alignment horizontal="left" shrinkToFit="1" vertical="top" wrapText="0"/>
    </xf>
    <xf borderId="33" fillId="5" fontId="1" numFmtId="0" xfId="0" applyAlignment="1" applyBorder="1" applyFont="1">
      <alignment horizontal="left" shrinkToFit="0" vertical="bottom" wrapText="1"/>
    </xf>
    <xf borderId="30" fillId="0" fontId="9" numFmtId="1" xfId="0" applyAlignment="1" applyBorder="1" applyFont="1" applyNumberFormat="1">
      <alignment horizontal="right" shrinkToFit="1" vertical="top" wrapText="0"/>
    </xf>
    <xf borderId="37" fillId="0" fontId="4" numFmtId="0" xfId="0" applyAlignment="1" applyBorder="1" applyFont="1">
      <alignment horizontal="left" shrinkToFit="0" vertical="top" wrapText="1"/>
    </xf>
    <xf borderId="38" fillId="0" fontId="3" numFmtId="0" xfId="0" applyAlignment="1" applyBorder="1" applyFont="1">
      <alignment horizontal="left" vertical="top"/>
    </xf>
    <xf borderId="39" fillId="0" fontId="3" numFmtId="0" xfId="0" applyAlignment="1" applyBorder="1" applyFont="1">
      <alignment horizontal="left" vertical="top"/>
    </xf>
    <xf borderId="37" fillId="0" fontId="12" numFmtId="1" xfId="0" applyAlignment="1" applyBorder="1" applyFont="1" applyNumberFormat="1">
      <alignment horizontal="left" shrinkToFit="1" vertical="top" wrapText="0"/>
    </xf>
    <xf borderId="30" fillId="0" fontId="9" numFmtId="165" xfId="0" applyAlignment="1" applyBorder="1" applyFont="1" applyNumberFormat="1">
      <alignment horizontal="left" shrinkToFit="1" vertical="top" wrapText="0"/>
    </xf>
    <xf borderId="33" fillId="6" fontId="1" numFmtId="0" xfId="0" applyAlignment="1" applyBorder="1" applyFont="1">
      <alignment horizontal="left" shrinkToFit="0" vertical="bottom" wrapText="1"/>
    </xf>
    <xf borderId="33" fillId="15" fontId="1" numFmtId="0" xfId="0" applyAlignment="1" applyBorder="1" applyFill="1" applyFont="1">
      <alignment horizontal="left" shrinkToFit="0" vertical="bottom" wrapText="1"/>
    </xf>
    <xf borderId="30" fillId="3" fontId="12" numFmtId="1" xfId="0" applyAlignment="1" applyBorder="1" applyFont="1" applyNumberFormat="1">
      <alignment horizontal="right" shrinkToFit="1" vertical="top" wrapText="0"/>
    </xf>
    <xf borderId="33" fillId="16" fontId="1" numFmtId="0" xfId="0" applyAlignment="1" applyBorder="1" applyFill="1" applyFont="1">
      <alignment horizontal="left" shrinkToFit="0" vertical="bottom" wrapText="1"/>
    </xf>
    <xf borderId="30" fillId="3" fontId="12" numFmtId="1" xfId="0" applyAlignment="1" applyBorder="1" applyFont="1" applyNumberFormat="1">
      <alignment horizontal="left" shrinkToFit="1" vertical="top" wrapText="0"/>
    </xf>
    <xf borderId="30" fillId="0" fontId="13" numFmtId="0" xfId="0" applyAlignment="1" applyBorder="1" applyFont="1">
      <alignment horizontal="center" shrinkToFit="0" vertical="top" wrapText="1"/>
    </xf>
    <xf borderId="30" fillId="0" fontId="14" numFmtId="0" xfId="0" applyAlignment="1" applyBorder="1" applyFont="1">
      <alignment horizontal="left" shrinkToFit="0" vertical="top" wrapText="1"/>
    </xf>
    <xf borderId="25" fillId="0" fontId="1" numFmtId="0" xfId="0" applyAlignment="1" applyBorder="1" applyFont="1">
      <alignment horizontal="left" shrinkToFit="0" vertical="top" wrapText="1"/>
    </xf>
    <xf borderId="30" fillId="0" fontId="13" numFmtId="0" xfId="0" applyAlignment="1" applyBorder="1" applyFont="1">
      <alignment horizontal="left" shrinkToFit="0" vertical="top" wrapText="1"/>
    </xf>
    <xf borderId="30" fillId="0" fontId="10" numFmtId="0" xfId="0" applyAlignment="1" applyBorder="1" applyFont="1">
      <alignment horizontal="center" shrinkToFit="0" vertical="top" wrapText="1"/>
    </xf>
    <xf borderId="40" fillId="0" fontId="3" numFmtId="0" xfId="0" applyAlignment="1" applyBorder="1" applyFont="1">
      <alignment horizontal="left" vertical="top"/>
    </xf>
    <xf borderId="30" fillId="17" fontId="15" numFmtId="0" xfId="0" applyAlignment="1" applyBorder="1" applyFill="1" applyFont="1">
      <alignment horizontal="center" shrinkToFit="0" vertical="top" wrapText="1"/>
    </xf>
    <xf borderId="30" fillId="17" fontId="15" numFmtId="0" xfId="0" applyAlignment="1" applyBorder="1" applyFont="1">
      <alignment horizontal="left" shrinkToFit="0" vertical="top" wrapText="1"/>
    </xf>
    <xf borderId="30" fillId="0" fontId="16" numFmtId="0" xfId="0" applyAlignment="1" applyBorder="1" applyFont="1">
      <alignment horizontal="left" shrinkToFit="0" vertical="top" wrapText="1"/>
    </xf>
    <xf borderId="30" fillId="0" fontId="17" numFmtId="165" xfId="0" applyAlignment="1" applyBorder="1" applyFont="1" applyNumberFormat="1">
      <alignment horizontal="left" shrinkToFit="1" vertical="top" wrapText="0"/>
    </xf>
    <xf borderId="30" fillId="0" fontId="18" numFmtId="165" xfId="0" applyAlignment="1" applyBorder="1" applyFont="1" applyNumberFormat="1">
      <alignment horizontal="center" shrinkToFit="1" vertical="top" wrapText="0"/>
    </xf>
    <xf borderId="30" fillId="0" fontId="18" numFmtId="165" xfId="0" applyAlignment="1" applyBorder="1" applyFont="1" applyNumberFormat="1">
      <alignment horizontal="left" shrinkToFit="1" vertical="top" wrapText="0"/>
    </xf>
    <xf borderId="30" fillId="0" fontId="1" numFmtId="0" xfId="0" applyAlignment="1" applyBorder="1" applyFont="1">
      <alignment horizontal="left" shrinkToFit="0" vertical="bottom" wrapText="1"/>
    </xf>
    <xf borderId="30" fillId="0" fontId="17" numFmtId="165" xfId="0" applyAlignment="1" applyBorder="1" applyFont="1" applyNumberFormat="1">
      <alignment horizontal="center" shrinkToFit="1" vertical="top" wrapText="0"/>
    </xf>
    <xf borderId="34" fillId="0" fontId="16" numFmtId="0" xfId="0" applyAlignment="1" applyBorder="1" applyFont="1">
      <alignment horizontal="left" shrinkToFit="0" vertical="top" wrapText="1"/>
    </xf>
    <xf borderId="34" fillId="0" fontId="1" numFmtId="0" xfId="0" applyAlignment="1" applyBorder="1" applyFont="1">
      <alignment horizontal="left" shrinkToFit="0" vertical="center" wrapText="1"/>
    </xf>
    <xf borderId="37" fillId="0" fontId="3" numFmtId="0" xfId="0" applyAlignment="1" applyBorder="1" applyFont="1">
      <alignment horizontal="left" vertical="top"/>
    </xf>
    <xf borderId="30" fillId="0" fontId="18" numFmtId="165" xfId="0" applyAlignment="1" applyBorder="1" applyFont="1" applyNumberFormat="1">
      <alignment horizontal="left" shrinkToFit="1" vertical="center" wrapText="0"/>
    </xf>
    <xf borderId="30" fillId="0" fontId="1" numFmtId="0" xfId="0" applyAlignment="1" applyBorder="1" applyFont="1">
      <alignment horizontal="left" shrinkToFit="0" vertical="center" wrapText="1"/>
    </xf>
    <xf borderId="34" fillId="0" fontId="1" numFmtId="0" xfId="0" applyAlignment="1" applyBorder="1" applyFont="1">
      <alignment horizontal="left" shrinkToFit="0" vertical="top" wrapText="1"/>
    </xf>
    <xf borderId="34" fillId="0" fontId="18" numFmtId="165" xfId="0" applyAlignment="1" applyBorder="1" applyFont="1" applyNumberFormat="1">
      <alignment horizontal="left" shrinkToFit="1" vertical="top" wrapText="0"/>
    </xf>
    <xf borderId="0" fillId="0" fontId="19" numFmtId="166" xfId="0" applyAlignment="1" applyFont="1" applyNumberFormat="1">
      <alignment horizontal="left" readingOrder="0" vertical="top"/>
    </xf>
    <xf borderId="0" fillId="0" fontId="19" numFmtId="0" xfId="0" applyAlignment="1" applyFont="1">
      <alignment horizontal="left" readingOrder="0" vertical="top"/>
    </xf>
    <xf borderId="0" fillId="0" fontId="19" numFmtId="166" xfId="0" applyAlignment="1" applyFont="1" applyNumberFormat="1">
      <alignment horizontal="left" vertical="top"/>
    </xf>
    <xf borderId="0" fillId="18" fontId="19" numFmtId="0" xfId="0" applyAlignment="1" applyFill="1" applyFont="1">
      <alignment horizontal="left" readingOrder="0" vertical="top"/>
    </xf>
    <xf borderId="0" fillId="0" fontId="19" numFmtId="0" xfId="0" applyAlignment="1" applyFont="1">
      <alignment horizontal="left" vertical="top"/>
    </xf>
    <xf borderId="0" fillId="19" fontId="19" numFmtId="0" xfId="0" applyAlignment="1" applyFill="1" applyFont="1">
      <alignment horizontal="left" readingOrder="0" vertical="top"/>
    </xf>
    <xf borderId="0" fillId="19" fontId="19" numFmtId="0" xfId="0" applyAlignment="1" applyFont="1">
      <alignment horizontal="left" vertical="top"/>
    </xf>
    <xf borderId="0" fillId="18" fontId="19" numFmtId="0" xfId="0" applyAlignment="1" applyFont="1">
      <alignment horizontal="left" vertical="top"/>
    </xf>
    <xf borderId="0" fillId="0" fontId="19" numFmtId="0" xfId="0" applyAlignment="1" applyFont="1">
      <alignment horizontal="left" vertical="top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104775</xdr:rowOff>
    </xdr:from>
    <xdr:ext cx="1419225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95250</xdr:colOff>
      <xdr:row>0</xdr:row>
      <xdr:rowOff>104775</xdr:rowOff>
    </xdr:from>
    <xdr:ext cx="1419225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57150</xdr:rowOff>
    </xdr:from>
    <xdr:ext cx="1419225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.29"/>
    <col customWidth="1" min="3" max="3" width="4.71"/>
    <col customWidth="1" min="4" max="5" width="3.29"/>
    <col customWidth="1" min="6" max="6" width="4.71"/>
    <col customWidth="1" min="7" max="7" width="3.29"/>
    <col customWidth="1" min="8" max="8" width="2.29"/>
    <col customWidth="1" min="9" max="14" width="4.71"/>
    <col customWidth="1" min="15" max="15" width="3.29"/>
    <col customWidth="1" min="16" max="16" width="2.29"/>
    <col customWidth="1" min="17" max="20" width="4.71"/>
    <col customWidth="1" min="21" max="21" width="5.71"/>
    <col customWidth="1" min="22" max="22" width="4.71"/>
    <col customWidth="1" min="23" max="25" width="3.29"/>
    <col customWidth="1" min="26" max="30" width="4.71"/>
    <col customWidth="1" min="31" max="31" width="3.29"/>
  </cols>
  <sheetData>
    <row r="1" ht="50.25" customHeight="1">
      <c r="A1" s="1" t="s">
        <v>0</v>
      </c>
    </row>
    <row r="2" ht="16.5" customHeight="1">
      <c r="A2" s="2">
        <v>2026.0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14.25" customHeight="1">
      <c r="A4" s="6" t="s">
        <v>1</v>
      </c>
      <c r="B4" s="7"/>
      <c r="C4" s="7"/>
      <c r="D4" s="7"/>
      <c r="E4" s="7"/>
      <c r="F4" s="7"/>
      <c r="G4" s="8"/>
      <c r="H4" s="5"/>
      <c r="I4" s="9" t="s">
        <v>2</v>
      </c>
      <c r="J4" s="7"/>
      <c r="K4" s="7"/>
      <c r="L4" s="7"/>
      <c r="M4" s="7"/>
      <c r="N4" s="7"/>
      <c r="O4" s="8"/>
      <c r="P4" s="5"/>
      <c r="Q4" s="9" t="s">
        <v>3</v>
      </c>
      <c r="R4" s="7"/>
      <c r="S4" s="7"/>
      <c r="T4" s="7"/>
      <c r="U4" s="7"/>
      <c r="V4" s="7"/>
      <c r="W4" s="8"/>
      <c r="X4" s="5"/>
      <c r="Y4" s="9" t="s">
        <v>4</v>
      </c>
      <c r="Z4" s="7"/>
      <c r="AA4" s="7"/>
      <c r="AB4" s="7"/>
      <c r="AC4" s="7"/>
      <c r="AD4" s="7"/>
      <c r="AE4" s="8"/>
    </row>
    <row r="5" ht="15.75" customHeight="1">
      <c r="A5" s="10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2" t="s">
        <v>11</v>
      </c>
      <c r="H5" s="5"/>
      <c r="I5" s="10" t="s">
        <v>12</v>
      </c>
      <c r="J5" s="11" t="s">
        <v>13</v>
      </c>
      <c r="K5" s="11" t="s">
        <v>14</v>
      </c>
      <c r="L5" s="11" t="s">
        <v>15</v>
      </c>
      <c r="M5" s="11" t="s">
        <v>16</v>
      </c>
      <c r="N5" s="11" t="s">
        <v>17</v>
      </c>
      <c r="O5" s="12" t="s">
        <v>18</v>
      </c>
      <c r="P5" s="5"/>
      <c r="Q5" s="10" t="s">
        <v>19</v>
      </c>
      <c r="R5" s="11" t="s">
        <v>20</v>
      </c>
      <c r="S5" s="11" t="s">
        <v>21</v>
      </c>
      <c r="T5" s="11" t="s">
        <v>22</v>
      </c>
      <c r="U5" s="11" t="s">
        <v>23</v>
      </c>
      <c r="V5" s="11" t="s">
        <v>24</v>
      </c>
      <c r="W5" s="12" t="s">
        <v>25</v>
      </c>
      <c r="X5" s="5"/>
      <c r="Y5" s="10" t="s">
        <v>26</v>
      </c>
      <c r="Z5" s="11" t="s">
        <v>27</v>
      </c>
      <c r="AA5" s="11" t="s">
        <v>28</v>
      </c>
      <c r="AB5" s="11" t="s">
        <v>29</v>
      </c>
      <c r="AC5" s="11" t="s">
        <v>30</v>
      </c>
      <c r="AD5" s="11" t="s">
        <v>31</v>
      </c>
      <c r="AE5" s="12" t="s">
        <v>32</v>
      </c>
    </row>
    <row r="6" ht="15.0" customHeight="1">
      <c r="A6" s="13">
        <v>1.0</v>
      </c>
      <c r="B6" s="14">
        <v>2.0</v>
      </c>
      <c r="C6" s="14">
        <v>3.0</v>
      </c>
      <c r="D6" s="14">
        <v>4.0</v>
      </c>
      <c r="E6" s="14">
        <v>5.0</v>
      </c>
      <c r="F6" s="14">
        <v>6.0</v>
      </c>
      <c r="G6" s="15">
        <v>7.0</v>
      </c>
      <c r="H6" s="5"/>
      <c r="I6" s="16">
        <v>1.0</v>
      </c>
      <c r="J6" s="17">
        <v>2.0</v>
      </c>
      <c r="K6" s="17">
        <v>3.0</v>
      </c>
      <c r="L6" s="17">
        <v>4.0</v>
      </c>
      <c r="M6" s="17">
        <v>5.0</v>
      </c>
      <c r="N6" s="17">
        <v>6.0</v>
      </c>
      <c r="O6" s="15">
        <v>7.0</v>
      </c>
      <c r="P6" s="5"/>
      <c r="Q6" s="18"/>
      <c r="R6" s="19"/>
      <c r="S6" s="19"/>
      <c r="T6" s="17">
        <v>1.0</v>
      </c>
      <c r="U6" s="14">
        <v>2.0</v>
      </c>
      <c r="V6" s="20">
        <v>3.0</v>
      </c>
      <c r="W6" s="15">
        <v>4.0</v>
      </c>
      <c r="X6" s="5"/>
      <c r="Y6" s="18"/>
      <c r="Z6" s="19"/>
      <c r="AA6" s="19"/>
      <c r="AB6" s="19"/>
      <c r="AC6" s="19"/>
      <c r="AD6" s="20">
        <v>1.0</v>
      </c>
      <c r="AE6" s="15">
        <v>2.0</v>
      </c>
    </row>
    <row r="7" ht="15.0" customHeight="1">
      <c r="A7" s="16">
        <v>8.0</v>
      </c>
      <c r="B7" s="14">
        <v>9.0</v>
      </c>
      <c r="C7" s="14">
        <v>10.0</v>
      </c>
      <c r="D7" s="21">
        <v>11.0</v>
      </c>
      <c r="E7" s="22">
        <v>12.0</v>
      </c>
      <c r="F7" s="22">
        <v>13.0</v>
      </c>
      <c r="G7" s="15">
        <v>14.0</v>
      </c>
      <c r="H7" s="5"/>
      <c r="I7" s="16">
        <v>8.0</v>
      </c>
      <c r="J7" s="17">
        <v>9.0</v>
      </c>
      <c r="K7" s="17">
        <v>10.0</v>
      </c>
      <c r="L7" s="17">
        <v>11.0</v>
      </c>
      <c r="M7" s="17">
        <v>12.0</v>
      </c>
      <c r="N7" s="17">
        <v>13.0</v>
      </c>
      <c r="O7" s="15">
        <v>14.0</v>
      </c>
      <c r="P7" s="5"/>
      <c r="Q7" s="16">
        <v>5.0</v>
      </c>
      <c r="R7" s="17">
        <v>6.0</v>
      </c>
      <c r="S7" s="17">
        <v>7.0</v>
      </c>
      <c r="T7" s="17">
        <v>8.0</v>
      </c>
      <c r="U7" s="17">
        <v>9.0</v>
      </c>
      <c r="V7" s="17">
        <v>10.0</v>
      </c>
      <c r="W7" s="15">
        <v>11.0</v>
      </c>
      <c r="X7" s="5"/>
      <c r="Y7" s="16">
        <v>3.0</v>
      </c>
      <c r="Z7" s="17">
        <v>4.0</v>
      </c>
      <c r="AA7" s="17">
        <v>5.0</v>
      </c>
      <c r="AB7" s="17">
        <v>6.0</v>
      </c>
      <c r="AC7" s="17">
        <v>7.0</v>
      </c>
      <c r="AD7" s="17">
        <v>8.0</v>
      </c>
      <c r="AE7" s="15">
        <v>9.0</v>
      </c>
    </row>
    <row r="8" ht="15.0" customHeight="1">
      <c r="A8" s="16">
        <v>15.0</v>
      </c>
      <c r="B8" s="23">
        <v>16.0</v>
      </c>
      <c r="C8" s="20">
        <v>17.0</v>
      </c>
      <c r="D8" s="23">
        <v>18.0</v>
      </c>
      <c r="E8" s="17">
        <v>19.0</v>
      </c>
      <c r="F8" s="17">
        <v>20.0</v>
      </c>
      <c r="G8" s="15">
        <v>21.0</v>
      </c>
      <c r="H8" s="5"/>
      <c r="I8" s="16">
        <v>15.0</v>
      </c>
      <c r="J8" s="17">
        <v>16.0</v>
      </c>
      <c r="K8" s="17">
        <v>17.0</v>
      </c>
      <c r="L8" s="17">
        <v>18.0</v>
      </c>
      <c r="M8" s="17">
        <v>19.0</v>
      </c>
      <c r="N8" s="17">
        <v>20.0</v>
      </c>
      <c r="O8" s="15">
        <v>21.0</v>
      </c>
      <c r="P8" s="5"/>
      <c r="Q8" s="16">
        <v>12.0</v>
      </c>
      <c r="R8" s="17">
        <v>13.0</v>
      </c>
      <c r="S8" s="17">
        <v>14.0</v>
      </c>
      <c r="T8" s="17">
        <v>15.0</v>
      </c>
      <c r="U8" s="17">
        <v>16.0</v>
      </c>
      <c r="V8" s="17">
        <v>17.0</v>
      </c>
      <c r="W8" s="15">
        <v>18.0</v>
      </c>
      <c r="X8" s="5"/>
      <c r="Y8" s="16">
        <v>10.0</v>
      </c>
      <c r="Z8" s="17">
        <v>11.0</v>
      </c>
      <c r="AA8" s="17">
        <v>12.0</v>
      </c>
      <c r="AB8" s="17">
        <v>13.0</v>
      </c>
      <c r="AC8" s="20">
        <v>14.0</v>
      </c>
      <c r="AD8" s="17">
        <v>15.0</v>
      </c>
      <c r="AE8" s="24">
        <v>16.0</v>
      </c>
    </row>
    <row r="9" ht="15.75" customHeight="1">
      <c r="A9" s="25">
        <v>22.0</v>
      </c>
      <c r="B9" s="26">
        <v>23.0</v>
      </c>
      <c r="C9" s="26">
        <v>24.0</v>
      </c>
      <c r="D9" s="26">
        <v>25.0</v>
      </c>
      <c r="E9" s="26">
        <v>26.0</v>
      </c>
      <c r="F9" s="26">
        <v>27.0</v>
      </c>
      <c r="G9" s="27">
        <v>28.0</v>
      </c>
      <c r="H9" s="5"/>
      <c r="I9" s="16">
        <v>22.0</v>
      </c>
      <c r="J9" s="17">
        <v>23.0</v>
      </c>
      <c r="K9" s="17">
        <v>24.0</v>
      </c>
      <c r="L9" s="17">
        <v>25.0</v>
      </c>
      <c r="M9" s="17">
        <v>26.0</v>
      </c>
      <c r="N9" s="17">
        <v>27.0</v>
      </c>
      <c r="O9" s="24">
        <v>28.0</v>
      </c>
      <c r="P9" s="5"/>
      <c r="Q9" s="16">
        <v>19.0</v>
      </c>
      <c r="R9" s="14">
        <v>20.0</v>
      </c>
      <c r="S9" s="20">
        <v>21.0</v>
      </c>
      <c r="T9" s="17">
        <v>22.0</v>
      </c>
      <c r="U9" s="17">
        <v>23.0</v>
      </c>
      <c r="V9" s="17">
        <v>24.0</v>
      </c>
      <c r="W9" s="24">
        <v>25.0</v>
      </c>
      <c r="X9" s="5"/>
      <c r="Y9" s="16">
        <v>17.0</v>
      </c>
      <c r="Z9" s="17">
        <v>18.0</v>
      </c>
      <c r="AA9" s="17">
        <v>19.0</v>
      </c>
      <c r="AB9" s="17">
        <v>20.0</v>
      </c>
      <c r="AC9" s="17">
        <v>21.0</v>
      </c>
      <c r="AD9" s="17">
        <v>22.0</v>
      </c>
      <c r="AE9" s="15">
        <v>23.0</v>
      </c>
    </row>
    <row r="10" ht="6.0" customHeight="1">
      <c r="A10" s="5"/>
      <c r="B10" s="5"/>
      <c r="C10" s="5"/>
      <c r="D10" s="5"/>
      <c r="E10" s="5"/>
      <c r="F10" s="5"/>
      <c r="G10" s="5"/>
      <c r="H10" s="5"/>
      <c r="I10" s="28">
        <v>29.0</v>
      </c>
      <c r="J10" s="29">
        <v>30.0</v>
      </c>
      <c r="K10" s="29">
        <v>31.0</v>
      </c>
      <c r="L10" s="30"/>
      <c r="M10" s="30"/>
      <c r="N10" s="30"/>
      <c r="O10" s="31"/>
      <c r="P10" s="5"/>
      <c r="Q10" s="28">
        <v>26.0</v>
      </c>
      <c r="R10" s="29">
        <v>27.0</v>
      </c>
      <c r="S10" s="29">
        <v>28.0</v>
      </c>
      <c r="T10" s="29">
        <v>29.0</v>
      </c>
      <c r="U10" s="29">
        <v>30.0</v>
      </c>
      <c r="V10" s="30"/>
      <c r="W10" s="31"/>
      <c r="X10" s="5"/>
      <c r="Y10" s="28">
        <v>24.0</v>
      </c>
      <c r="Z10" s="29">
        <v>25.0</v>
      </c>
      <c r="AA10" s="29">
        <v>26.0</v>
      </c>
      <c r="AB10" s="29">
        <v>27.0</v>
      </c>
      <c r="AC10" s="29">
        <v>28.0</v>
      </c>
      <c r="AD10" s="29">
        <v>29.0</v>
      </c>
      <c r="AE10" s="32">
        <v>30.0</v>
      </c>
    </row>
    <row r="11" ht="9.0" customHeight="1">
      <c r="A11" s="33" t="s">
        <v>33</v>
      </c>
      <c r="H11" s="34"/>
      <c r="I11" s="35"/>
      <c r="J11" s="36"/>
      <c r="K11" s="36"/>
      <c r="L11" s="36"/>
      <c r="M11" s="36"/>
      <c r="N11" s="36"/>
      <c r="O11" s="37"/>
      <c r="P11" s="34"/>
      <c r="Q11" s="35"/>
      <c r="R11" s="36"/>
      <c r="S11" s="36"/>
      <c r="T11" s="36"/>
      <c r="U11" s="36"/>
      <c r="V11" s="36"/>
      <c r="W11" s="37"/>
      <c r="X11" s="34"/>
      <c r="Y11" s="35"/>
      <c r="Z11" s="36"/>
      <c r="AA11" s="36"/>
      <c r="AB11" s="36"/>
      <c r="AC11" s="36"/>
      <c r="AD11" s="36"/>
      <c r="AE11" s="37"/>
    </row>
    <row r="12" ht="5.25" customHeight="1">
      <c r="A12" s="5"/>
      <c r="B12" s="5"/>
      <c r="C12" s="5"/>
      <c r="D12" s="5"/>
      <c r="E12" s="5"/>
      <c r="F12" s="5"/>
      <c r="G12" s="5"/>
      <c r="H12" s="5"/>
      <c r="I12" s="38"/>
      <c r="J12" s="39"/>
      <c r="K12" s="39"/>
      <c r="L12" s="39"/>
      <c r="M12" s="39"/>
      <c r="N12" s="39"/>
      <c r="O12" s="40"/>
      <c r="P12" s="5"/>
      <c r="Q12" s="38"/>
      <c r="R12" s="39"/>
      <c r="S12" s="39"/>
      <c r="T12" s="39"/>
      <c r="U12" s="39"/>
      <c r="V12" s="39"/>
      <c r="W12" s="40"/>
      <c r="X12" s="5"/>
      <c r="Y12" s="41"/>
      <c r="Z12" s="42"/>
      <c r="AA12" s="42"/>
      <c r="AB12" s="42"/>
      <c r="AC12" s="42"/>
      <c r="AD12" s="42"/>
      <c r="AE12" s="43"/>
    </row>
    <row r="13" ht="6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28">
        <v>31.0</v>
      </c>
      <c r="Z13" s="30"/>
      <c r="AA13" s="30"/>
      <c r="AB13" s="30"/>
      <c r="AC13" s="30"/>
      <c r="AD13" s="30"/>
      <c r="AE13" s="31"/>
    </row>
    <row r="14" ht="9.0" customHeight="1">
      <c r="A14" s="44" t="s">
        <v>34</v>
      </c>
      <c r="X14" s="34"/>
      <c r="Y14" s="35"/>
      <c r="Z14" s="36"/>
      <c r="AA14" s="36"/>
      <c r="AB14" s="36"/>
      <c r="AC14" s="36"/>
      <c r="AD14" s="36"/>
      <c r="AE14" s="37"/>
    </row>
    <row r="15" ht="5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38"/>
      <c r="Z15" s="39"/>
      <c r="AA15" s="39"/>
      <c r="AB15" s="39"/>
      <c r="AC15" s="39"/>
      <c r="AD15" s="39"/>
      <c r="AE15" s="40"/>
    </row>
    <row r="16" ht="30.0" customHeight="1">
      <c r="A16" s="33" t="s">
        <v>35</v>
      </c>
    </row>
    <row r="17" ht="15.0" customHeight="1">
      <c r="A17" s="9" t="s">
        <v>36</v>
      </c>
      <c r="B17" s="7"/>
      <c r="C17" s="7"/>
      <c r="D17" s="7"/>
      <c r="E17" s="7"/>
      <c r="F17" s="7"/>
      <c r="G17" s="8"/>
      <c r="H17" s="45"/>
      <c r="I17" s="9" t="s">
        <v>37</v>
      </c>
      <c r="J17" s="7"/>
      <c r="K17" s="7"/>
      <c r="L17" s="7"/>
      <c r="M17" s="7"/>
      <c r="N17" s="7"/>
      <c r="O17" s="8"/>
      <c r="P17" s="5"/>
      <c r="Q17" s="9" t="s">
        <v>38</v>
      </c>
      <c r="R17" s="7"/>
      <c r="S17" s="7"/>
      <c r="T17" s="7"/>
      <c r="U17" s="7"/>
      <c r="V17" s="7"/>
      <c r="W17" s="8"/>
      <c r="X17" s="5"/>
      <c r="Y17" s="9" t="s">
        <v>39</v>
      </c>
      <c r="Z17" s="7"/>
      <c r="AA17" s="7"/>
      <c r="AB17" s="7"/>
      <c r="AC17" s="7"/>
      <c r="AD17" s="7"/>
      <c r="AE17" s="8"/>
    </row>
    <row r="18" ht="15.0" customHeight="1">
      <c r="A18" s="10" t="s">
        <v>40</v>
      </c>
      <c r="B18" s="11" t="s">
        <v>41</v>
      </c>
      <c r="C18" s="11" t="s">
        <v>42</v>
      </c>
      <c r="D18" s="11" t="s">
        <v>43</v>
      </c>
      <c r="E18" s="11" t="s">
        <v>44</v>
      </c>
      <c r="F18" s="11" t="s">
        <v>45</v>
      </c>
      <c r="G18" s="12" t="s">
        <v>46</v>
      </c>
      <c r="H18" s="46"/>
      <c r="I18" s="10" t="s">
        <v>47</v>
      </c>
      <c r="J18" s="11" t="s">
        <v>48</v>
      </c>
      <c r="K18" s="11" t="s">
        <v>49</v>
      </c>
      <c r="L18" s="11" t="s">
        <v>50</v>
      </c>
      <c r="M18" s="11" t="s">
        <v>51</v>
      </c>
      <c r="N18" s="11" t="s">
        <v>52</v>
      </c>
      <c r="O18" s="12" t="s">
        <v>53</v>
      </c>
      <c r="P18" s="5"/>
      <c r="Q18" s="10" t="s">
        <v>54</v>
      </c>
      <c r="R18" s="11" t="s">
        <v>55</v>
      </c>
      <c r="S18" s="11" t="s">
        <v>56</v>
      </c>
      <c r="T18" s="11" t="s">
        <v>57</v>
      </c>
      <c r="U18" s="11" t="s">
        <v>58</v>
      </c>
      <c r="V18" s="11" t="s">
        <v>59</v>
      </c>
      <c r="W18" s="12" t="s">
        <v>60</v>
      </c>
      <c r="X18" s="5"/>
      <c r="Y18" s="10" t="s">
        <v>61</v>
      </c>
      <c r="Z18" s="11" t="s">
        <v>62</v>
      </c>
      <c r="AA18" s="11" t="s">
        <v>63</v>
      </c>
      <c r="AB18" s="11" t="s">
        <v>64</v>
      </c>
      <c r="AC18" s="11" t="s">
        <v>65</v>
      </c>
      <c r="AD18" s="11" t="s">
        <v>66</v>
      </c>
      <c r="AE18" s="12" t="s">
        <v>67</v>
      </c>
    </row>
    <row r="19" ht="15.75" customHeight="1">
      <c r="A19" s="18"/>
      <c r="B19" s="47">
        <v>1.0</v>
      </c>
      <c r="C19" s="47">
        <v>2.0</v>
      </c>
      <c r="D19" s="47">
        <v>3.0</v>
      </c>
      <c r="E19" s="48">
        <v>4.0</v>
      </c>
      <c r="F19" s="47">
        <v>5.0</v>
      </c>
      <c r="G19" s="49">
        <v>6.0</v>
      </c>
      <c r="H19" s="50"/>
      <c r="I19" s="18"/>
      <c r="J19" s="19"/>
      <c r="K19" s="19"/>
      <c r="L19" s="51">
        <v>1.0</v>
      </c>
      <c r="M19" s="20">
        <v>2.0</v>
      </c>
      <c r="N19" s="51">
        <v>3.0</v>
      </c>
      <c r="O19" s="15">
        <v>4.0</v>
      </c>
      <c r="P19" s="5"/>
      <c r="Q19" s="18"/>
      <c r="R19" s="19"/>
      <c r="S19" s="19"/>
      <c r="T19" s="19"/>
      <c r="U19" s="19"/>
      <c r="V19" s="19"/>
      <c r="W19" s="15">
        <v>1.0</v>
      </c>
      <c r="X19" s="5"/>
      <c r="Y19" s="18"/>
      <c r="Z19" s="19"/>
      <c r="AA19" s="47">
        <v>1.0</v>
      </c>
      <c r="AB19" s="47">
        <v>2.0</v>
      </c>
      <c r="AC19" s="47">
        <v>3.0</v>
      </c>
      <c r="AD19" s="47">
        <v>4.0</v>
      </c>
      <c r="AE19" s="15">
        <v>5.0</v>
      </c>
    </row>
    <row r="20" ht="15.0" customHeight="1">
      <c r="A20" s="16">
        <v>7.0</v>
      </c>
      <c r="B20" s="47">
        <v>8.0</v>
      </c>
      <c r="C20" s="47">
        <v>9.0</v>
      </c>
      <c r="D20" s="47">
        <v>10.0</v>
      </c>
      <c r="E20" s="47">
        <v>11.0</v>
      </c>
      <c r="F20" s="47">
        <v>12.0</v>
      </c>
      <c r="G20" s="15">
        <v>13.0</v>
      </c>
      <c r="H20" s="50"/>
      <c r="I20" s="16">
        <v>5.0</v>
      </c>
      <c r="J20" s="47">
        <v>6.0</v>
      </c>
      <c r="K20" s="47">
        <v>7.0</v>
      </c>
      <c r="L20" s="47">
        <v>8.0</v>
      </c>
      <c r="M20" s="47">
        <v>9.0</v>
      </c>
      <c r="N20" s="47">
        <v>10.0</v>
      </c>
      <c r="O20" s="15">
        <v>11.0</v>
      </c>
      <c r="P20" s="5"/>
      <c r="Q20" s="16">
        <v>2.0</v>
      </c>
      <c r="R20" s="47">
        <v>3.0</v>
      </c>
      <c r="S20" s="47">
        <v>4.0</v>
      </c>
      <c r="T20" s="47">
        <v>5.0</v>
      </c>
      <c r="U20" s="47">
        <v>6.0</v>
      </c>
      <c r="V20" s="47">
        <v>7.0</v>
      </c>
      <c r="W20" s="15">
        <v>8.0</v>
      </c>
      <c r="X20" s="5"/>
      <c r="Y20" s="16">
        <v>6.0</v>
      </c>
      <c r="Z20" s="20">
        <v>7.0</v>
      </c>
      <c r="AA20" s="47">
        <v>8.0</v>
      </c>
      <c r="AB20" s="47">
        <v>9.0</v>
      </c>
      <c r="AC20" s="47">
        <v>10.0</v>
      </c>
      <c r="AD20" s="47">
        <v>11.0</v>
      </c>
      <c r="AE20" s="15">
        <v>12.0</v>
      </c>
    </row>
    <row r="21" ht="15.0" customHeight="1">
      <c r="A21" s="16">
        <v>14.0</v>
      </c>
      <c r="B21" s="47">
        <v>15.0</v>
      </c>
      <c r="C21" s="47">
        <v>16.0</v>
      </c>
      <c r="D21" s="47">
        <v>17.0</v>
      </c>
      <c r="E21" s="47">
        <v>18.0</v>
      </c>
      <c r="F21" s="47">
        <v>19.0</v>
      </c>
      <c r="G21" s="15">
        <v>20.0</v>
      </c>
      <c r="H21" s="52"/>
      <c r="I21" s="16">
        <v>12.0</v>
      </c>
      <c r="J21" s="47">
        <v>13.0</v>
      </c>
      <c r="K21" s="47">
        <v>14.0</v>
      </c>
      <c r="L21" s="47">
        <v>15.0</v>
      </c>
      <c r="M21" s="47">
        <v>16.0</v>
      </c>
      <c r="N21" s="47">
        <v>17.0</v>
      </c>
      <c r="O21" s="15">
        <v>18.0</v>
      </c>
      <c r="P21" s="5"/>
      <c r="Q21" s="16">
        <v>9.0</v>
      </c>
      <c r="R21" s="47">
        <v>10.0</v>
      </c>
      <c r="S21" s="47">
        <v>11.0</v>
      </c>
      <c r="T21" s="47">
        <v>12.0</v>
      </c>
      <c r="U21" s="47">
        <v>13.0</v>
      </c>
      <c r="V21" s="47">
        <v>14.0</v>
      </c>
      <c r="W21" s="15">
        <v>15.0</v>
      </c>
      <c r="X21" s="5"/>
      <c r="Y21" s="16">
        <v>13.0</v>
      </c>
      <c r="Z21" s="53">
        <v>14.0</v>
      </c>
      <c r="AA21" s="53">
        <v>15.0</v>
      </c>
      <c r="AB21" s="53">
        <v>16.0</v>
      </c>
      <c r="AC21" s="53">
        <v>17.0</v>
      </c>
      <c r="AD21" s="53">
        <v>18.0</v>
      </c>
      <c r="AE21" s="54">
        <v>19.0</v>
      </c>
    </row>
    <row r="22" ht="15.75" customHeight="1">
      <c r="A22" s="16">
        <v>21.0</v>
      </c>
      <c r="B22" s="51">
        <v>22.0</v>
      </c>
      <c r="C22" s="51">
        <v>23.0</v>
      </c>
      <c r="D22" s="20">
        <v>24.0</v>
      </c>
      <c r="E22" s="51">
        <v>25.0</v>
      </c>
      <c r="F22" s="51">
        <v>26.0</v>
      </c>
      <c r="G22" s="55">
        <v>27.0</v>
      </c>
      <c r="H22" s="56"/>
      <c r="I22" s="16">
        <v>19.0</v>
      </c>
      <c r="J22" s="47">
        <v>20.0</v>
      </c>
      <c r="K22" s="47">
        <v>21.0</v>
      </c>
      <c r="L22" s="47">
        <v>22.0</v>
      </c>
      <c r="M22" s="47">
        <v>23.0</v>
      </c>
      <c r="N22" s="47">
        <v>24.0</v>
      </c>
      <c r="O22" s="49">
        <v>25.0</v>
      </c>
      <c r="P22" s="5"/>
      <c r="Q22" s="16">
        <v>16.0</v>
      </c>
      <c r="R22" s="47">
        <v>17.0</v>
      </c>
      <c r="S22" s="47">
        <v>18.0</v>
      </c>
      <c r="T22" s="47">
        <v>19.0</v>
      </c>
      <c r="U22" s="47">
        <v>20.0</v>
      </c>
      <c r="V22" s="47">
        <v>21.0</v>
      </c>
      <c r="W22" s="15">
        <v>22.0</v>
      </c>
      <c r="X22" s="5"/>
      <c r="Y22" s="16">
        <v>20.0</v>
      </c>
      <c r="Z22" s="53">
        <v>21.0</v>
      </c>
      <c r="AA22" s="53">
        <v>22.0</v>
      </c>
      <c r="AB22" s="53">
        <v>23.0</v>
      </c>
      <c r="AC22" s="53">
        <v>24.0</v>
      </c>
      <c r="AD22" s="53">
        <v>25.0</v>
      </c>
      <c r="AE22" s="15">
        <v>26.0</v>
      </c>
    </row>
    <row r="23" ht="15.0" customHeight="1">
      <c r="A23" s="57">
        <v>28.0</v>
      </c>
      <c r="B23" s="58">
        <v>29.0</v>
      </c>
      <c r="C23" s="58">
        <v>30.0</v>
      </c>
      <c r="D23" s="59"/>
      <c r="E23" s="59"/>
      <c r="F23" s="59"/>
      <c r="G23" s="60"/>
      <c r="H23" s="56"/>
      <c r="I23" s="25">
        <v>26.0</v>
      </c>
      <c r="J23" s="61">
        <v>27.0</v>
      </c>
      <c r="K23" s="61">
        <v>28.0</v>
      </c>
      <c r="L23" s="61">
        <v>29.0</v>
      </c>
      <c r="M23" s="61">
        <v>30.0</v>
      </c>
      <c r="N23" s="61">
        <v>31.0</v>
      </c>
      <c r="O23" s="60"/>
      <c r="P23" s="5"/>
      <c r="Q23" s="16">
        <v>23.0</v>
      </c>
      <c r="R23" s="47">
        <v>24.0</v>
      </c>
      <c r="S23" s="47">
        <v>25.0</v>
      </c>
      <c r="T23" s="47">
        <v>26.0</v>
      </c>
      <c r="U23" s="47">
        <v>27.0</v>
      </c>
      <c r="V23" s="47">
        <v>28.0</v>
      </c>
      <c r="W23" s="49">
        <v>29.0</v>
      </c>
      <c r="X23" s="5"/>
      <c r="Y23" s="25">
        <v>27.0</v>
      </c>
      <c r="Z23" s="62">
        <v>28.0</v>
      </c>
      <c r="AA23" s="62">
        <v>29.0</v>
      </c>
      <c r="AB23" s="62">
        <v>30.0</v>
      </c>
      <c r="AC23" s="59"/>
      <c r="AD23" s="59"/>
      <c r="AE23" s="60"/>
    </row>
    <row r="24" ht="6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28">
        <v>30.0</v>
      </c>
      <c r="R24" s="63">
        <v>31.0</v>
      </c>
      <c r="S24" s="30"/>
      <c r="T24" s="30"/>
      <c r="U24" s="30"/>
      <c r="V24" s="30"/>
      <c r="W24" s="31"/>
      <c r="X24" s="5"/>
      <c r="Y24" s="5"/>
      <c r="Z24" s="5"/>
      <c r="AA24" s="5"/>
      <c r="AB24" s="5"/>
      <c r="AC24" s="5"/>
      <c r="AD24" s="5"/>
      <c r="AE24" s="5"/>
    </row>
    <row r="25" ht="9.0" customHeight="1">
      <c r="A25" s="33" t="s">
        <v>68</v>
      </c>
      <c r="P25" s="34"/>
      <c r="Q25" s="35"/>
      <c r="R25" s="36"/>
      <c r="S25" s="36"/>
      <c r="T25" s="36"/>
      <c r="U25" s="36"/>
      <c r="V25" s="36"/>
      <c r="W25" s="37"/>
      <c r="X25" s="34"/>
      <c r="Y25" s="33" t="s">
        <v>69</v>
      </c>
    </row>
    <row r="26" ht="5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38"/>
      <c r="R26" s="39"/>
      <c r="S26" s="39"/>
      <c r="T26" s="39"/>
      <c r="U26" s="39"/>
      <c r="V26" s="39"/>
      <c r="W26" s="40"/>
      <c r="X26" s="5"/>
      <c r="Y26" s="5"/>
      <c r="Z26" s="5"/>
      <c r="AA26" s="5"/>
      <c r="AB26" s="5"/>
      <c r="AC26" s="5"/>
      <c r="AD26" s="5"/>
      <c r="AE26" s="5"/>
    </row>
    <row r="27" ht="30.0" customHeight="1">
      <c r="A27" s="33" t="s">
        <v>70</v>
      </c>
    </row>
    <row r="28" ht="15.0" customHeight="1">
      <c r="A28" s="6" t="s">
        <v>71</v>
      </c>
      <c r="B28" s="7"/>
      <c r="C28" s="7"/>
      <c r="D28" s="7"/>
      <c r="E28" s="7"/>
      <c r="F28" s="7"/>
      <c r="G28" s="8"/>
      <c r="H28" s="5"/>
      <c r="I28" s="6" t="s">
        <v>72</v>
      </c>
      <c r="J28" s="7"/>
      <c r="K28" s="7"/>
      <c r="L28" s="7"/>
      <c r="M28" s="7"/>
      <c r="N28" s="7"/>
      <c r="O28" s="8"/>
      <c r="P28" s="5"/>
      <c r="Q28" s="6" t="s">
        <v>73</v>
      </c>
      <c r="R28" s="7"/>
      <c r="S28" s="7"/>
      <c r="T28" s="7"/>
      <c r="U28" s="7"/>
      <c r="V28" s="7"/>
      <c r="W28" s="8"/>
      <c r="X28" s="5"/>
      <c r="Y28" s="6" t="s">
        <v>74</v>
      </c>
      <c r="Z28" s="7"/>
      <c r="AA28" s="7"/>
      <c r="AB28" s="7"/>
      <c r="AC28" s="7"/>
      <c r="AD28" s="7"/>
      <c r="AE28" s="8"/>
    </row>
    <row r="29" ht="15.0" customHeight="1">
      <c r="A29" s="10" t="s">
        <v>75</v>
      </c>
      <c r="B29" s="11" t="s">
        <v>76</v>
      </c>
      <c r="C29" s="11" t="s">
        <v>77</v>
      </c>
      <c r="D29" s="11" t="s">
        <v>78</v>
      </c>
      <c r="E29" s="11" t="s">
        <v>79</v>
      </c>
      <c r="F29" s="11" t="s">
        <v>80</v>
      </c>
      <c r="G29" s="12" t="s">
        <v>81</v>
      </c>
      <c r="H29" s="5"/>
      <c r="I29" s="10" t="s">
        <v>82</v>
      </c>
      <c r="J29" s="11" t="s">
        <v>83</v>
      </c>
      <c r="K29" s="11" t="s">
        <v>84</v>
      </c>
      <c r="L29" s="11" t="s">
        <v>85</v>
      </c>
      <c r="M29" s="11" t="s">
        <v>86</v>
      </c>
      <c r="N29" s="11" t="s">
        <v>87</v>
      </c>
      <c r="O29" s="12" t="s">
        <v>88</v>
      </c>
      <c r="P29" s="5"/>
      <c r="Q29" s="10" t="s">
        <v>89</v>
      </c>
      <c r="R29" s="11" t="s">
        <v>90</v>
      </c>
      <c r="S29" s="11" t="s">
        <v>91</v>
      </c>
      <c r="T29" s="11" t="s">
        <v>92</v>
      </c>
      <c r="U29" s="11" t="s">
        <v>93</v>
      </c>
      <c r="V29" s="11" t="s">
        <v>94</v>
      </c>
      <c r="W29" s="12" t="s">
        <v>95</v>
      </c>
      <c r="X29" s="5"/>
      <c r="Y29" s="10" t="s">
        <v>96</v>
      </c>
      <c r="Z29" s="11" t="s">
        <v>97</v>
      </c>
      <c r="AA29" s="11" t="s">
        <v>98</v>
      </c>
      <c r="AB29" s="11" t="s">
        <v>99</v>
      </c>
      <c r="AC29" s="11" t="s">
        <v>100</v>
      </c>
      <c r="AD29" s="11" t="s">
        <v>101</v>
      </c>
      <c r="AE29" s="12" t="s">
        <v>102</v>
      </c>
    </row>
    <row r="30" ht="15.75" customHeight="1">
      <c r="A30" s="18"/>
      <c r="B30" s="19"/>
      <c r="C30" s="19"/>
      <c r="D30" s="19"/>
      <c r="E30" s="53">
        <v>1.0</v>
      </c>
      <c r="F30" s="53">
        <v>2.0</v>
      </c>
      <c r="G30" s="15">
        <v>3.0</v>
      </c>
      <c r="H30" s="5"/>
      <c r="I30" s="16">
        <v>1.0</v>
      </c>
      <c r="J30" s="20">
        <v>2.0</v>
      </c>
      <c r="K30" s="53">
        <v>3.0</v>
      </c>
      <c r="L30" s="53">
        <v>4.0</v>
      </c>
      <c r="M30" s="53">
        <v>5.0</v>
      </c>
      <c r="N30" s="53">
        <v>6.0</v>
      </c>
      <c r="O30" s="15">
        <v>7.0</v>
      </c>
      <c r="P30" s="5"/>
      <c r="Q30" s="18"/>
      <c r="R30" s="19"/>
      <c r="S30" s="53">
        <v>1.0</v>
      </c>
      <c r="T30" s="53">
        <v>2.0</v>
      </c>
      <c r="U30" s="53">
        <v>3.0</v>
      </c>
      <c r="V30" s="53">
        <v>4.0</v>
      </c>
      <c r="W30" s="15">
        <v>5.0</v>
      </c>
      <c r="X30" s="5"/>
      <c r="Y30" s="18"/>
      <c r="Z30" s="19"/>
      <c r="AA30" s="19"/>
      <c r="AB30" s="19"/>
      <c r="AC30" s="19"/>
      <c r="AD30" s="20">
        <v>1.0</v>
      </c>
      <c r="AE30" s="15">
        <v>2.0</v>
      </c>
    </row>
    <row r="31" ht="15.0" customHeight="1">
      <c r="A31" s="16">
        <v>4.0</v>
      </c>
      <c r="B31" s="53">
        <v>5.0</v>
      </c>
      <c r="C31" s="53">
        <v>6.0</v>
      </c>
      <c r="D31" s="53">
        <v>7.0</v>
      </c>
      <c r="E31" s="53">
        <v>8.0</v>
      </c>
      <c r="F31" s="53">
        <v>9.0</v>
      </c>
      <c r="G31" s="15">
        <v>10.0</v>
      </c>
      <c r="H31" s="5"/>
      <c r="I31" s="16">
        <v>8.0</v>
      </c>
      <c r="J31" s="53">
        <v>9.0</v>
      </c>
      <c r="K31" s="53">
        <v>10.0</v>
      </c>
      <c r="L31" s="53">
        <v>11.0</v>
      </c>
      <c r="M31" s="53">
        <v>12.0</v>
      </c>
      <c r="N31" s="53">
        <v>13.0</v>
      </c>
      <c r="O31" s="15">
        <v>14.0</v>
      </c>
      <c r="P31" s="5"/>
      <c r="Q31" s="16">
        <v>6.0</v>
      </c>
      <c r="R31" s="53">
        <v>7.0</v>
      </c>
      <c r="S31" s="20">
        <v>8.0</v>
      </c>
      <c r="T31" s="53">
        <v>9.0</v>
      </c>
      <c r="U31" s="53">
        <v>10.0</v>
      </c>
      <c r="V31" s="53">
        <v>11.0</v>
      </c>
      <c r="W31" s="15">
        <v>12.0</v>
      </c>
      <c r="X31" s="5"/>
      <c r="Y31" s="16">
        <v>3.0</v>
      </c>
      <c r="Z31" s="64">
        <v>4.0</v>
      </c>
      <c r="AA31" s="64">
        <v>5.0</v>
      </c>
      <c r="AB31" s="64">
        <v>6.0</v>
      </c>
      <c r="AC31" s="64">
        <v>7.0</v>
      </c>
      <c r="AD31" s="64">
        <v>8.0</v>
      </c>
      <c r="AE31" s="65">
        <v>9.0</v>
      </c>
    </row>
    <row r="32" ht="15.0" customHeight="1">
      <c r="A32" s="16">
        <v>11.0</v>
      </c>
      <c r="B32" s="20">
        <v>12.0</v>
      </c>
      <c r="C32" s="53">
        <v>13.0</v>
      </c>
      <c r="D32" s="53">
        <v>14.0</v>
      </c>
      <c r="E32" s="14">
        <v>15.0</v>
      </c>
      <c r="F32" s="53">
        <v>16.0</v>
      </c>
      <c r="G32" s="66">
        <v>17.0</v>
      </c>
      <c r="H32" s="5"/>
      <c r="I32" s="67">
        <v>15.0</v>
      </c>
      <c r="J32" s="53">
        <v>16.0</v>
      </c>
      <c r="K32" s="53">
        <v>17.0</v>
      </c>
      <c r="L32" s="53">
        <v>18.0</v>
      </c>
      <c r="M32" s="53">
        <v>19.0</v>
      </c>
      <c r="N32" s="20">
        <v>20.0</v>
      </c>
      <c r="O32" s="15">
        <v>21.0</v>
      </c>
      <c r="P32" s="5"/>
      <c r="Q32" s="16">
        <v>13.0</v>
      </c>
      <c r="R32" s="53">
        <v>14.0</v>
      </c>
      <c r="S32" s="53">
        <v>15.0</v>
      </c>
      <c r="T32" s="53">
        <v>16.0</v>
      </c>
      <c r="U32" s="68">
        <v>17.0</v>
      </c>
      <c r="V32" s="68">
        <v>18.0</v>
      </c>
      <c r="W32" s="15">
        <v>19.0</v>
      </c>
      <c r="X32" s="5"/>
      <c r="Y32" s="69">
        <v>10.0</v>
      </c>
      <c r="Z32" s="64">
        <v>11.0</v>
      </c>
      <c r="AA32" s="64">
        <v>12.0</v>
      </c>
      <c r="AB32" s="64">
        <v>13.0</v>
      </c>
      <c r="AC32" s="64">
        <v>14.0</v>
      </c>
      <c r="AD32" s="64">
        <v>15.0</v>
      </c>
      <c r="AE32" s="65">
        <v>16.0</v>
      </c>
    </row>
    <row r="33" ht="15.0" customHeight="1">
      <c r="A33" s="16">
        <v>18.0</v>
      </c>
      <c r="B33" s="53">
        <v>19.0</v>
      </c>
      <c r="C33" s="53">
        <v>20.0</v>
      </c>
      <c r="D33" s="53">
        <v>21.0</v>
      </c>
      <c r="E33" s="53">
        <v>22.0</v>
      </c>
      <c r="F33" s="53">
        <v>23.0</v>
      </c>
      <c r="G33" s="15">
        <v>24.0</v>
      </c>
      <c r="H33" s="5"/>
      <c r="I33" s="16">
        <v>22.0</v>
      </c>
      <c r="J33" s="53">
        <v>23.0</v>
      </c>
      <c r="K33" s="53">
        <v>24.0</v>
      </c>
      <c r="L33" s="53">
        <v>25.0</v>
      </c>
      <c r="M33" s="53">
        <v>26.0</v>
      </c>
      <c r="N33" s="53">
        <v>27.0</v>
      </c>
      <c r="O33" s="66">
        <v>28.0</v>
      </c>
      <c r="P33" s="5"/>
      <c r="Q33" s="16">
        <v>20.0</v>
      </c>
      <c r="R33" s="68">
        <v>21.0</v>
      </c>
      <c r="S33" s="14">
        <v>22.0</v>
      </c>
      <c r="T33" s="14">
        <v>23.0</v>
      </c>
      <c r="U33" s="48">
        <v>24.0</v>
      </c>
      <c r="V33" s="20">
        <v>25.0</v>
      </c>
      <c r="W33" s="15">
        <v>26.0</v>
      </c>
      <c r="X33" s="5"/>
      <c r="Y33" s="69">
        <v>17.0</v>
      </c>
      <c r="Z33" s="64">
        <v>18.0</v>
      </c>
      <c r="AA33" s="64">
        <v>19.0</v>
      </c>
      <c r="AB33" s="20">
        <v>20.0</v>
      </c>
      <c r="AC33" s="64">
        <v>21.0</v>
      </c>
      <c r="AD33" s="64">
        <v>22.0</v>
      </c>
      <c r="AE33" s="65">
        <v>23.0</v>
      </c>
    </row>
    <row r="34" ht="15.75" customHeight="1">
      <c r="A34" s="25">
        <v>25.0</v>
      </c>
      <c r="B34" s="62">
        <v>26.0</v>
      </c>
      <c r="C34" s="62">
        <v>27.0</v>
      </c>
      <c r="D34" s="70">
        <v>28.0</v>
      </c>
      <c r="E34" s="62">
        <v>29.0</v>
      </c>
      <c r="F34" s="62">
        <v>30.0</v>
      </c>
      <c r="G34" s="27">
        <v>31.0</v>
      </c>
      <c r="H34" s="5"/>
      <c r="I34" s="25">
        <v>29.0</v>
      </c>
      <c r="J34" s="62">
        <v>30.0</v>
      </c>
      <c r="K34" s="59"/>
      <c r="L34" s="59"/>
      <c r="M34" s="59"/>
      <c r="N34" s="59"/>
      <c r="O34" s="60"/>
      <c r="P34" s="5"/>
      <c r="Q34" s="25">
        <v>27.0</v>
      </c>
      <c r="R34" s="71">
        <v>28.0</v>
      </c>
      <c r="S34" s="71">
        <v>29.0</v>
      </c>
      <c r="T34" s="71">
        <v>30.0</v>
      </c>
      <c r="U34" s="71">
        <v>31.0</v>
      </c>
      <c r="V34" s="59"/>
      <c r="W34" s="60"/>
      <c r="X34" s="5"/>
      <c r="Y34" s="69">
        <v>24.0</v>
      </c>
      <c r="Z34" s="64">
        <v>25.0</v>
      </c>
      <c r="AA34" s="64">
        <v>26.0</v>
      </c>
      <c r="AB34" s="64">
        <v>27.0</v>
      </c>
      <c r="AC34" s="64">
        <v>28.0</v>
      </c>
      <c r="AD34" s="64">
        <v>29.0</v>
      </c>
      <c r="AE34" s="65">
        <v>30.0</v>
      </c>
    </row>
    <row r="35" ht="5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72">
        <v>31.0</v>
      </c>
      <c r="Z35" s="30"/>
      <c r="AA35" s="30"/>
      <c r="AB35" s="30"/>
      <c r="AC35" s="30"/>
      <c r="AD35" s="30"/>
      <c r="AE35" s="31"/>
    </row>
    <row r="36" ht="9.0" customHeight="1">
      <c r="A36" s="33" t="s">
        <v>103</v>
      </c>
      <c r="X36" s="5"/>
      <c r="Y36" s="35"/>
      <c r="Z36" s="36"/>
      <c r="AA36" s="36"/>
      <c r="AB36" s="36"/>
      <c r="AC36" s="36"/>
      <c r="AD36" s="36"/>
      <c r="AE36" s="37"/>
    </row>
    <row r="37" ht="5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38"/>
      <c r="Z37" s="39"/>
      <c r="AA37" s="39"/>
      <c r="AB37" s="39"/>
      <c r="AC37" s="39"/>
      <c r="AD37" s="39"/>
      <c r="AE37" s="40"/>
    </row>
    <row r="38" ht="30.0" customHeight="1">
      <c r="A38" s="33" t="s">
        <v>104</v>
      </c>
    </row>
    <row r="39" ht="15.0" customHeight="1">
      <c r="A39" s="6" t="s">
        <v>105</v>
      </c>
      <c r="B39" s="7"/>
      <c r="C39" s="7"/>
      <c r="D39" s="7"/>
      <c r="E39" s="7"/>
      <c r="F39" s="7"/>
      <c r="G39" s="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15.0" customHeight="1">
      <c r="A40" s="10" t="s">
        <v>106</v>
      </c>
      <c r="B40" s="11" t="s">
        <v>107</v>
      </c>
      <c r="C40" s="11" t="s">
        <v>108</v>
      </c>
      <c r="D40" s="11" t="s">
        <v>109</v>
      </c>
      <c r="E40" s="11" t="s">
        <v>110</v>
      </c>
      <c r="F40" s="11" t="s">
        <v>111</v>
      </c>
      <c r="G40" s="12" t="s">
        <v>112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15.0" customHeight="1">
      <c r="A41" s="18"/>
      <c r="B41" s="64">
        <v>1.0</v>
      </c>
      <c r="C41" s="64">
        <v>2.0</v>
      </c>
      <c r="D41" s="64">
        <v>3.0</v>
      </c>
      <c r="E41" s="64">
        <v>4.0</v>
      </c>
      <c r="F41" s="64">
        <v>5.0</v>
      </c>
      <c r="G41" s="15">
        <v>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15.75" customHeight="1">
      <c r="A42" s="16">
        <v>7.0</v>
      </c>
      <c r="B42" s="48">
        <v>8.0</v>
      </c>
      <c r="C42" s="20">
        <v>9.0</v>
      </c>
      <c r="D42" s="48">
        <v>10.0</v>
      </c>
      <c r="E42" s="21">
        <v>11.0</v>
      </c>
      <c r="F42" s="22">
        <v>12.0</v>
      </c>
      <c r="G42" s="15">
        <v>13.0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15.0" customHeight="1">
      <c r="A43" s="16">
        <v>14.0</v>
      </c>
      <c r="B43" s="14">
        <v>15.0</v>
      </c>
      <c r="C43" s="14">
        <v>16.0</v>
      </c>
      <c r="D43" s="14">
        <v>17.0</v>
      </c>
      <c r="E43" s="14">
        <v>18.0</v>
      </c>
      <c r="F43" s="14">
        <v>19.0</v>
      </c>
      <c r="G43" s="15">
        <v>20.0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15.0" customHeight="1">
      <c r="A44" s="16">
        <v>21.0</v>
      </c>
      <c r="B44" s="14">
        <v>22.0</v>
      </c>
      <c r="C44" s="14">
        <v>23.0</v>
      </c>
      <c r="D44" s="14">
        <v>24.0</v>
      </c>
      <c r="E44" s="14">
        <v>25.0</v>
      </c>
      <c r="F44" s="14">
        <v>26.0</v>
      </c>
      <c r="G44" s="15">
        <v>27.0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15.75" customHeight="1">
      <c r="A45" s="25">
        <v>28.0</v>
      </c>
      <c r="B45" s="71">
        <v>29.0</v>
      </c>
      <c r="C45" s="71">
        <v>30.0</v>
      </c>
      <c r="D45" s="59"/>
      <c r="E45" s="59"/>
      <c r="F45" s="59"/>
      <c r="G45" s="60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14.25" customHeight="1">
      <c r="A47" s="5"/>
      <c r="B47" s="73" t="s">
        <v>113</v>
      </c>
      <c r="C47" s="74"/>
      <c r="D47" s="75"/>
      <c r="E47" s="76" t="s">
        <v>114</v>
      </c>
      <c r="F47" s="75"/>
      <c r="G47" s="5"/>
      <c r="H47" s="5"/>
      <c r="I47" s="76" t="s">
        <v>115</v>
      </c>
      <c r="J47" s="74"/>
      <c r="K47" s="74"/>
      <c r="L47" s="75"/>
      <c r="M47" s="5"/>
      <c r="N47" s="76" t="s">
        <v>116</v>
      </c>
      <c r="O47" s="74"/>
      <c r="P47" s="75"/>
      <c r="Q47" s="76" t="s">
        <v>117</v>
      </c>
      <c r="R47" s="75"/>
      <c r="S47" s="76" t="s">
        <v>118</v>
      </c>
      <c r="T47" s="74"/>
      <c r="U47" s="75"/>
      <c r="V47" s="73" t="s">
        <v>119</v>
      </c>
      <c r="W47" s="74"/>
      <c r="X47" s="75"/>
      <c r="Y47" s="5"/>
      <c r="Z47" s="73" t="s">
        <v>120</v>
      </c>
      <c r="AA47" s="74"/>
      <c r="AB47" s="74"/>
      <c r="AC47" s="74"/>
      <c r="AD47" s="74"/>
      <c r="AE47" s="75"/>
    </row>
    <row r="48" ht="15.0" customHeight="1">
      <c r="A48" s="5"/>
      <c r="B48" s="77" t="s">
        <v>121</v>
      </c>
      <c r="C48" s="74"/>
      <c r="D48" s="75"/>
      <c r="E48" s="78">
        <v>37.0</v>
      </c>
      <c r="F48" s="75"/>
      <c r="G48" s="5"/>
      <c r="H48" s="5"/>
      <c r="I48" s="79" t="s">
        <v>122</v>
      </c>
      <c r="J48" s="80" t="s">
        <v>123</v>
      </c>
      <c r="K48" s="79" t="s">
        <v>124</v>
      </c>
      <c r="L48" s="80" t="s">
        <v>125</v>
      </c>
      <c r="M48" s="5"/>
      <c r="N48" s="81" t="s">
        <v>126</v>
      </c>
      <c r="O48" s="74"/>
      <c r="P48" s="75"/>
      <c r="Q48" s="82">
        <v>69.0</v>
      </c>
      <c r="R48" s="75"/>
      <c r="S48" s="83">
        <v>46072.0</v>
      </c>
      <c r="T48" s="74"/>
      <c r="U48" s="75"/>
      <c r="V48" s="83">
        <v>46171.0</v>
      </c>
      <c r="W48" s="74"/>
      <c r="X48" s="75"/>
      <c r="Y48" s="5"/>
      <c r="Z48" s="77" t="s">
        <v>127</v>
      </c>
      <c r="AA48" s="74"/>
      <c r="AB48" s="74"/>
      <c r="AC48" s="74"/>
      <c r="AD48" s="75"/>
      <c r="AE48" s="84"/>
    </row>
    <row r="49" ht="15.75" customHeight="1">
      <c r="A49" s="5"/>
      <c r="B49" s="77" t="s">
        <v>128</v>
      </c>
      <c r="C49" s="74"/>
      <c r="D49" s="75"/>
      <c r="E49" s="78">
        <v>39.0</v>
      </c>
      <c r="F49" s="75"/>
      <c r="G49" s="5"/>
      <c r="H49" s="5"/>
      <c r="I49" s="85" t="s">
        <v>129</v>
      </c>
      <c r="J49" s="86">
        <v>0.0</v>
      </c>
      <c r="K49" s="85" t="s">
        <v>130</v>
      </c>
      <c r="L49" s="86">
        <v>21.0</v>
      </c>
      <c r="M49" s="5"/>
      <c r="N49" s="87" t="s">
        <v>131</v>
      </c>
      <c r="O49" s="74"/>
      <c r="P49" s="75"/>
      <c r="Q49" s="88">
        <v>66.0</v>
      </c>
      <c r="R49" s="75"/>
      <c r="S49" s="89">
        <v>46174.0</v>
      </c>
      <c r="T49" s="74"/>
      <c r="U49" s="75"/>
      <c r="V49" s="89">
        <v>46276.0</v>
      </c>
      <c r="W49" s="74"/>
      <c r="X49" s="75"/>
      <c r="Y49" s="5"/>
      <c r="Z49" s="77" t="s">
        <v>132</v>
      </c>
      <c r="AA49" s="74"/>
      <c r="AB49" s="74"/>
      <c r="AC49" s="74"/>
      <c r="AD49" s="75"/>
      <c r="AE49" s="90"/>
    </row>
    <row r="50" ht="15.0" customHeight="1">
      <c r="A50" s="5"/>
      <c r="B50" s="77" t="s">
        <v>133</v>
      </c>
      <c r="C50" s="74"/>
      <c r="D50" s="75"/>
      <c r="E50" s="78">
        <v>40.0</v>
      </c>
      <c r="F50" s="75"/>
      <c r="G50" s="5"/>
      <c r="H50" s="5"/>
      <c r="I50" s="85" t="s">
        <v>134</v>
      </c>
      <c r="J50" s="86">
        <v>7.0</v>
      </c>
      <c r="K50" s="85" t="s">
        <v>135</v>
      </c>
      <c r="L50" s="86">
        <v>22.0</v>
      </c>
      <c r="M50" s="5"/>
      <c r="N50" s="91" t="s">
        <v>136</v>
      </c>
      <c r="O50" s="74"/>
      <c r="P50" s="75"/>
      <c r="Q50" s="92">
        <v>65.0</v>
      </c>
      <c r="R50" s="75"/>
      <c r="S50" s="93">
        <v>45914.0</v>
      </c>
      <c r="T50" s="74"/>
      <c r="U50" s="75"/>
      <c r="V50" s="93">
        <v>46372.0</v>
      </c>
      <c r="W50" s="74"/>
      <c r="X50" s="75"/>
      <c r="Y50" s="5"/>
      <c r="Z50" s="77" t="s">
        <v>137</v>
      </c>
      <c r="AA50" s="74"/>
      <c r="AB50" s="74"/>
      <c r="AC50" s="74"/>
      <c r="AD50" s="75"/>
      <c r="AE50" s="94"/>
    </row>
    <row r="51" ht="15.75" customHeight="1">
      <c r="A51" s="5"/>
      <c r="B51" s="77" t="s">
        <v>138</v>
      </c>
      <c r="C51" s="74"/>
      <c r="D51" s="75"/>
      <c r="E51" s="78">
        <v>37.0</v>
      </c>
      <c r="F51" s="75"/>
      <c r="G51" s="5"/>
      <c r="H51" s="5"/>
      <c r="I51" s="85" t="s">
        <v>139</v>
      </c>
      <c r="J51" s="86">
        <v>23.0</v>
      </c>
      <c r="K51" s="85" t="s">
        <v>140</v>
      </c>
      <c r="L51" s="86">
        <v>22.0</v>
      </c>
      <c r="M51" s="5"/>
      <c r="N51" s="95" t="s">
        <v>141</v>
      </c>
      <c r="O51" s="96"/>
      <c r="P51" s="97"/>
      <c r="Q51" s="98">
        <v>200.0</v>
      </c>
      <c r="R51" s="97"/>
      <c r="S51" s="77" t="s">
        <v>142</v>
      </c>
      <c r="T51" s="74"/>
      <c r="U51" s="74"/>
      <c r="V51" s="74"/>
      <c r="W51" s="74"/>
      <c r="X51" s="75"/>
      <c r="Y51" s="5"/>
      <c r="Z51" s="77" t="s">
        <v>143</v>
      </c>
      <c r="AA51" s="74"/>
      <c r="AB51" s="74"/>
      <c r="AC51" s="74"/>
      <c r="AD51" s="75"/>
      <c r="AE51" s="99"/>
    </row>
    <row r="52" ht="14.25" customHeight="1">
      <c r="A52" s="5"/>
      <c r="B52" s="77" t="s">
        <v>144</v>
      </c>
      <c r="C52" s="74"/>
      <c r="D52" s="75"/>
      <c r="E52" s="100">
        <v>38.0</v>
      </c>
      <c r="F52" s="75"/>
      <c r="G52" s="5"/>
      <c r="I52" s="85" t="s">
        <v>145</v>
      </c>
      <c r="J52" s="86">
        <v>19.0</v>
      </c>
      <c r="K52" s="85" t="s">
        <v>146</v>
      </c>
      <c r="L52" s="86">
        <v>20.0</v>
      </c>
      <c r="M52" s="5"/>
      <c r="N52" s="101" t="s">
        <v>147</v>
      </c>
      <c r="O52" s="102"/>
      <c r="P52" s="103"/>
      <c r="Q52" s="104">
        <v>200.0</v>
      </c>
      <c r="R52" s="103"/>
      <c r="S52" s="105">
        <v>46433.0</v>
      </c>
      <c r="T52" s="74"/>
      <c r="U52" s="74"/>
      <c r="V52" s="74"/>
      <c r="W52" s="74"/>
      <c r="X52" s="75"/>
      <c r="Y52" s="5"/>
      <c r="Z52" s="77" t="s">
        <v>148</v>
      </c>
      <c r="AA52" s="74"/>
      <c r="AB52" s="74"/>
      <c r="AC52" s="74"/>
      <c r="AD52" s="75"/>
      <c r="AE52" s="106"/>
    </row>
    <row r="53" ht="15.0" customHeight="1">
      <c r="A53" s="5"/>
      <c r="B53" s="77" t="s">
        <v>149</v>
      </c>
      <c r="C53" s="74"/>
      <c r="D53" s="75"/>
      <c r="E53" s="100">
        <v>9.0</v>
      </c>
      <c r="F53" s="75"/>
      <c r="G53" s="5"/>
      <c r="I53" s="85" t="s">
        <v>150</v>
      </c>
      <c r="J53" s="86">
        <v>20.0</v>
      </c>
      <c r="K53" s="85" t="s">
        <v>151</v>
      </c>
      <c r="L53" s="86">
        <v>20.0</v>
      </c>
      <c r="M53" s="5"/>
      <c r="N53" s="5"/>
      <c r="P53" s="5"/>
      <c r="Q53" s="5"/>
      <c r="R53" s="5"/>
      <c r="S53" s="5"/>
      <c r="U53" s="5"/>
      <c r="Y53" s="5"/>
      <c r="Z53" s="77" t="s">
        <v>152</v>
      </c>
      <c r="AA53" s="74"/>
      <c r="AB53" s="74"/>
      <c r="AC53" s="74"/>
      <c r="AD53" s="75"/>
      <c r="AE53" s="107"/>
    </row>
    <row r="54" ht="15.0" customHeight="1">
      <c r="A54" s="5"/>
      <c r="B54" s="76" t="s">
        <v>153</v>
      </c>
      <c r="C54" s="74"/>
      <c r="D54" s="75"/>
      <c r="E54" s="108">
        <v>200.0</v>
      </c>
      <c r="F54" s="75"/>
      <c r="G54" s="5"/>
      <c r="I54" s="85" t="s">
        <v>154</v>
      </c>
      <c r="J54" s="86">
        <v>15.0</v>
      </c>
      <c r="K54" s="85" t="s">
        <v>155</v>
      </c>
      <c r="L54" s="86">
        <v>11.0</v>
      </c>
      <c r="M54" s="5"/>
      <c r="N54" s="5"/>
      <c r="P54" s="5"/>
      <c r="Q54" s="5"/>
      <c r="R54" s="5"/>
      <c r="S54" s="5"/>
      <c r="U54" s="5"/>
      <c r="Y54" s="5"/>
      <c r="Z54" s="77" t="s">
        <v>156</v>
      </c>
      <c r="AA54" s="74"/>
      <c r="AB54" s="74"/>
      <c r="AC54" s="74"/>
      <c r="AD54" s="75"/>
      <c r="AE54" s="109"/>
    </row>
    <row r="55" ht="15.75" customHeight="1">
      <c r="A55" s="5"/>
      <c r="B55" s="5"/>
      <c r="C55" s="5"/>
      <c r="E55" s="5"/>
      <c r="G55" s="5"/>
      <c r="I55" s="76" t="s">
        <v>157</v>
      </c>
      <c r="J55" s="75"/>
      <c r="K55" s="110">
        <v>200.0</v>
      </c>
      <c r="L55" s="75"/>
      <c r="M55" s="5"/>
      <c r="N55" s="5"/>
      <c r="P55" s="5"/>
      <c r="Q55" s="5"/>
      <c r="R55" s="5"/>
      <c r="S55" s="5"/>
      <c r="U55" s="5"/>
      <c r="Y55" s="5"/>
      <c r="Z55" s="5"/>
      <c r="AB55" s="5"/>
      <c r="AD55" s="5"/>
      <c r="AE55" s="5"/>
    </row>
    <row r="56" ht="15.0" customHeight="1">
      <c r="A56" s="5"/>
      <c r="B56" s="5"/>
      <c r="C56" s="5"/>
      <c r="E56" s="5"/>
      <c r="G56" s="5"/>
      <c r="I56" s="5"/>
      <c r="J56" s="5"/>
      <c r="K56" s="5"/>
      <c r="L56" s="5"/>
      <c r="M56" s="5"/>
      <c r="N56" s="5"/>
      <c r="P56" s="5"/>
      <c r="Q56" s="5"/>
      <c r="R56" s="5"/>
      <c r="S56" s="5"/>
      <c r="U56" s="5"/>
      <c r="Y56" s="5"/>
      <c r="Z56" s="5"/>
      <c r="AB56" s="5"/>
      <c r="AD56" s="5"/>
      <c r="AE56" s="5"/>
    </row>
    <row r="57" ht="14.25" customHeight="1">
      <c r="A57" s="5"/>
      <c r="B57" s="5"/>
      <c r="C57" s="73" t="s">
        <v>158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5"/>
      <c r="Z57" s="5"/>
      <c r="AB57" s="5"/>
      <c r="AD57" s="5"/>
      <c r="AE57" s="5"/>
    </row>
    <row r="58" ht="15.75" customHeight="1">
      <c r="A58" s="5"/>
      <c r="B58" s="5"/>
      <c r="C58" s="111" t="s">
        <v>159</v>
      </c>
      <c r="D58" s="75"/>
      <c r="E58" s="112" t="s">
        <v>160</v>
      </c>
      <c r="F58" s="74"/>
      <c r="G58" s="74"/>
      <c r="H58" s="74"/>
      <c r="I58" s="75"/>
      <c r="J58" s="113"/>
      <c r="K58" s="114" t="s">
        <v>161</v>
      </c>
      <c r="L58" s="75"/>
      <c r="M58" s="112" t="s">
        <v>162</v>
      </c>
      <c r="N58" s="74"/>
      <c r="O58" s="74"/>
      <c r="P58" s="74"/>
      <c r="Q58" s="75"/>
      <c r="R58" s="113"/>
      <c r="S58" s="111" t="s">
        <v>163</v>
      </c>
      <c r="T58" s="75"/>
      <c r="U58" s="112" t="s">
        <v>164</v>
      </c>
      <c r="V58" s="74"/>
      <c r="W58" s="74"/>
      <c r="X58" s="74"/>
      <c r="Y58" s="75"/>
      <c r="Z58" s="5"/>
      <c r="AB58" s="5"/>
      <c r="AD58" s="5"/>
      <c r="AE58" s="5"/>
    </row>
    <row r="59" ht="15.0" customHeight="1">
      <c r="A59" s="5"/>
      <c r="B59" s="5"/>
      <c r="C59" s="115" t="s">
        <v>165</v>
      </c>
      <c r="D59" s="75"/>
      <c r="E59" s="112" t="s">
        <v>166</v>
      </c>
      <c r="F59" s="74"/>
      <c r="G59" s="74"/>
      <c r="H59" s="74"/>
      <c r="I59" s="75"/>
      <c r="J59" s="56"/>
      <c r="K59" s="114" t="s">
        <v>167</v>
      </c>
      <c r="L59" s="75"/>
      <c r="M59" s="112" t="s">
        <v>168</v>
      </c>
      <c r="N59" s="74"/>
      <c r="O59" s="74"/>
      <c r="P59" s="74"/>
      <c r="Q59" s="75"/>
      <c r="R59" s="56"/>
      <c r="S59" s="111" t="s">
        <v>169</v>
      </c>
      <c r="T59" s="75"/>
      <c r="U59" s="112" t="s">
        <v>170</v>
      </c>
      <c r="V59" s="74"/>
      <c r="W59" s="74"/>
      <c r="X59" s="74"/>
      <c r="Y59" s="75"/>
      <c r="Z59" s="5"/>
      <c r="AB59" s="5"/>
      <c r="AD59" s="5"/>
      <c r="AE59" s="5"/>
    </row>
    <row r="60" ht="15.0" customHeight="1">
      <c r="A60" s="5"/>
      <c r="B60" s="5"/>
      <c r="C60" s="111" t="s">
        <v>171</v>
      </c>
      <c r="D60" s="75"/>
      <c r="E60" s="112" t="s">
        <v>172</v>
      </c>
      <c r="F60" s="74"/>
      <c r="G60" s="74"/>
      <c r="H60" s="74"/>
      <c r="I60" s="75"/>
      <c r="J60" s="56"/>
      <c r="K60" s="114" t="s">
        <v>173</v>
      </c>
      <c r="L60" s="75"/>
      <c r="M60" s="112" t="s">
        <v>174</v>
      </c>
      <c r="N60" s="74"/>
      <c r="O60" s="74"/>
      <c r="P60" s="74"/>
      <c r="Q60" s="75"/>
      <c r="R60" s="56"/>
      <c r="S60" s="111" t="s">
        <v>175</v>
      </c>
      <c r="T60" s="75"/>
      <c r="U60" s="112" t="s">
        <v>176</v>
      </c>
      <c r="V60" s="74"/>
      <c r="W60" s="74"/>
      <c r="X60" s="74"/>
      <c r="Y60" s="75"/>
      <c r="Z60" s="5"/>
      <c r="AB60" s="5"/>
      <c r="AD60" s="5"/>
      <c r="AE60" s="5"/>
    </row>
    <row r="61" ht="15.0" customHeight="1">
      <c r="A61" s="5"/>
      <c r="B61" s="5"/>
      <c r="C61" s="111" t="s">
        <v>177</v>
      </c>
      <c r="D61" s="75"/>
      <c r="E61" s="112" t="s">
        <v>178</v>
      </c>
      <c r="F61" s="74"/>
      <c r="G61" s="74"/>
      <c r="H61" s="74"/>
      <c r="I61" s="75"/>
      <c r="J61" s="56"/>
      <c r="K61" s="114" t="s">
        <v>179</v>
      </c>
      <c r="L61" s="75"/>
      <c r="M61" s="112" t="s">
        <v>180</v>
      </c>
      <c r="N61" s="74"/>
      <c r="O61" s="74"/>
      <c r="P61" s="74"/>
      <c r="Q61" s="75"/>
      <c r="R61" s="56"/>
      <c r="S61" s="111" t="s">
        <v>181</v>
      </c>
      <c r="T61" s="75"/>
      <c r="U61" s="112" t="s">
        <v>182</v>
      </c>
      <c r="V61" s="74"/>
      <c r="W61" s="74"/>
      <c r="X61" s="74"/>
      <c r="Y61" s="75"/>
      <c r="Z61" s="5"/>
      <c r="AB61" s="5"/>
      <c r="AD61" s="5"/>
      <c r="AE61" s="5"/>
    </row>
    <row r="62" ht="15.75" customHeight="1">
      <c r="A62" s="5"/>
      <c r="B62" s="5"/>
      <c r="C62" s="111" t="s">
        <v>183</v>
      </c>
      <c r="D62" s="75"/>
      <c r="E62" s="112" t="s">
        <v>184</v>
      </c>
      <c r="F62" s="74"/>
      <c r="G62" s="74"/>
      <c r="H62" s="74"/>
      <c r="I62" s="75"/>
      <c r="J62" s="56"/>
      <c r="K62" s="114" t="s">
        <v>185</v>
      </c>
      <c r="L62" s="75"/>
      <c r="M62" s="112" t="s">
        <v>186</v>
      </c>
      <c r="N62" s="74"/>
      <c r="O62" s="74"/>
      <c r="P62" s="74"/>
      <c r="Q62" s="75"/>
      <c r="R62" s="56"/>
      <c r="S62" s="111" t="s">
        <v>187</v>
      </c>
      <c r="T62" s="75"/>
      <c r="U62" s="112" t="s">
        <v>188</v>
      </c>
      <c r="V62" s="74"/>
      <c r="W62" s="74"/>
      <c r="X62" s="74"/>
      <c r="Y62" s="75"/>
      <c r="Z62" s="5"/>
      <c r="AB62" s="5"/>
      <c r="AD62" s="5"/>
      <c r="AE62" s="5"/>
    </row>
    <row r="63" ht="15.0" customHeight="1">
      <c r="A63" s="5"/>
      <c r="B63" s="5"/>
      <c r="C63" s="5"/>
      <c r="R63" s="116"/>
      <c r="S63" s="111" t="s">
        <v>189</v>
      </c>
      <c r="T63" s="75"/>
      <c r="U63" s="112" t="s">
        <v>190</v>
      </c>
      <c r="V63" s="74"/>
      <c r="W63" s="74"/>
      <c r="X63" s="74"/>
      <c r="Y63" s="75"/>
      <c r="Z63" s="5"/>
      <c r="AB63" s="5"/>
      <c r="AD63" s="5"/>
      <c r="AE63" s="5"/>
    </row>
    <row r="64" ht="45.75" customHeight="1">
      <c r="A64" s="1" t="s">
        <v>191</v>
      </c>
    </row>
    <row r="65" ht="15.0" customHeight="1">
      <c r="A65" s="117" t="s">
        <v>192</v>
      </c>
      <c r="B65" s="74"/>
      <c r="C65" s="74"/>
      <c r="D65" s="74"/>
      <c r="E65" s="74"/>
      <c r="F65" s="74"/>
      <c r="G65" s="74"/>
      <c r="H65" s="74"/>
      <c r="I65" s="74"/>
      <c r="J65" s="74"/>
      <c r="K65" s="75"/>
      <c r="L65" s="118" t="s">
        <v>193</v>
      </c>
      <c r="M65" s="74"/>
      <c r="N65" s="74"/>
      <c r="O65" s="75"/>
      <c r="P65" s="5"/>
      <c r="Q65" s="117" t="s">
        <v>194</v>
      </c>
      <c r="R65" s="74"/>
      <c r="S65" s="74"/>
      <c r="T65" s="74"/>
      <c r="U65" s="74"/>
      <c r="V65" s="74"/>
      <c r="W65" s="74"/>
      <c r="X65" s="74"/>
      <c r="Y65" s="74"/>
      <c r="Z65" s="74"/>
      <c r="AA65" s="75"/>
      <c r="AB65" s="118" t="s">
        <v>195</v>
      </c>
      <c r="AC65" s="74"/>
      <c r="AD65" s="74"/>
      <c r="AE65" s="75"/>
    </row>
    <row r="66" ht="15.75" customHeight="1">
      <c r="A66" s="119" t="s">
        <v>196</v>
      </c>
      <c r="B66" s="74"/>
      <c r="C66" s="74"/>
      <c r="D66" s="74"/>
      <c r="E66" s="74"/>
      <c r="F66" s="74"/>
      <c r="G66" s="74"/>
      <c r="H66" s="74"/>
      <c r="I66" s="74"/>
      <c r="J66" s="74"/>
      <c r="K66" s="75"/>
      <c r="L66" s="120">
        <v>46062.0</v>
      </c>
      <c r="M66" s="74"/>
      <c r="N66" s="74"/>
      <c r="O66" s="75"/>
      <c r="P66" s="5"/>
      <c r="Q66" s="119" t="s">
        <v>197</v>
      </c>
      <c r="R66" s="74"/>
      <c r="S66" s="74"/>
      <c r="T66" s="74"/>
      <c r="U66" s="74"/>
      <c r="V66" s="74"/>
      <c r="W66" s="74"/>
      <c r="X66" s="74"/>
      <c r="Y66" s="74"/>
      <c r="Z66" s="74"/>
      <c r="AA66" s="75"/>
      <c r="AB66" s="121">
        <v>45914.0</v>
      </c>
      <c r="AC66" s="75"/>
      <c r="AD66" s="122">
        <v>46372.0</v>
      </c>
      <c r="AE66" s="75"/>
    </row>
    <row r="67" ht="15.0" customHeight="1">
      <c r="A67" s="119" t="s">
        <v>198</v>
      </c>
      <c r="B67" s="74"/>
      <c r="C67" s="74"/>
      <c r="D67" s="74"/>
      <c r="E67" s="74"/>
      <c r="F67" s="74"/>
      <c r="G67" s="74"/>
      <c r="H67" s="74"/>
      <c r="I67" s="74"/>
      <c r="J67" s="74"/>
      <c r="K67" s="75"/>
      <c r="L67" s="123"/>
      <c r="M67" s="75"/>
      <c r="N67" s="123"/>
      <c r="O67" s="75"/>
      <c r="P67" s="5"/>
      <c r="Q67" s="119" t="s">
        <v>199</v>
      </c>
      <c r="R67" s="74"/>
      <c r="S67" s="74"/>
      <c r="T67" s="74"/>
      <c r="U67" s="74"/>
      <c r="V67" s="74"/>
      <c r="W67" s="74"/>
      <c r="X67" s="74"/>
      <c r="Y67" s="74"/>
      <c r="Z67" s="74"/>
      <c r="AA67" s="75"/>
      <c r="AB67" s="122">
        <v>46372.0</v>
      </c>
      <c r="AC67" s="74"/>
      <c r="AD67" s="74"/>
      <c r="AE67" s="75"/>
    </row>
    <row r="68" ht="15.0" customHeight="1">
      <c r="A68" s="119" t="s">
        <v>200</v>
      </c>
      <c r="B68" s="74"/>
      <c r="C68" s="74"/>
      <c r="D68" s="74"/>
      <c r="E68" s="74"/>
      <c r="F68" s="74"/>
      <c r="G68" s="74"/>
      <c r="H68" s="74"/>
      <c r="I68" s="74"/>
      <c r="J68" s="74"/>
      <c r="K68" s="75"/>
      <c r="L68" s="123"/>
      <c r="M68" s="75"/>
      <c r="N68" s="123"/>
      <c r="O68" s="75"/>
      <c r="P68" s="5"/>
      <c r="Q68" s="119" t="s">
        <v>201</v>
      </c>
      <c r="R68" s="74"/>
      <c r="S68" s="74"/>
      <c r="T68" s="74"/>
      <c r="U68" s="74"/>
      <c r="V68" s="74"/>
      <c r="W68" s="74"/>
      <c r="X68" s="74"/>
      <c r="Y68" s="74"/>
      <c r="Z68" s="74"/>
      <c r="AA68" s="75"/>
      <c r="AB68" s="121">
        <v>46373.0</v>
      </c>
      <c r="AC68" s="75"/>
      <c r="AD68" s="122">
        <v>46377.0</v>
      </c>
      <c r="AE68" s="75"/>
    </row>
    <row r="69" ht="15.75" customHeight="1">
      <c r="A69" s="119" t="s">
        <v>202</v>
      </c>
      <c r="B69" s="74"/>
      <c r="C69" s="74"/>
      <c r="D69" s="74"/>
      <c r="E69" s="74"/>
      <c r="F69" s="74"/>
      <c r="G69" s="74"/>
      <c r="H69" s="74"/>
      <c r="I69" s="74"/>
      <c r="J69" s="74"/>
      <c r="K69" s="75"/>
      <c r="L69" s="120">
        <v>46072.0</v>
      </c>
      <c r="M69" s="74"/>
      <c r="N69" s="74"/>
      <c r="O69" s="75"/>
      <c r="P69" s="5"/>
      <c r="Q69" s="119" t="s">
        <v>203</v>
      </c>
      <c r="R69" s="74"/>
      <c r="S69" s="74"/>
      <c r="T69" s="74"/>
      <c r="U69" s="74"/>
      <c r="V69" s="74"/>
      <c r="W69" s="74"/>
      <c r="X69" s="74"/>
      <c r="Y69" s="74"/>
      <c r="Z69" s="74"/>
      <c r="AA69" s="75"/>
      <c r="AB69" s="123"/>
      <c r="AC69" s="75"/>
      <c r="AD69" s="123"/>
      <c r="AE69" s="75"/>
    </row>
    <row r="70" ht="15.0" customHeight="1">
      <c r="A70" s="119" t="s">
        <v>204</v>
      </c>
      <c r="B70" s="74"/>
      <c r="C70" s="74"/>
      <c r="D70" s="74"/>
      <c r="E70" s="74"/>
      <c r="F70" s="74"/>
      <c r="G70" s="74"/>
      <c r="H70" s="74"/>
      <c r="I70" s="74"/>
      <c r="J70" s="74"/>
      <c r="K70" s="75"/>
      <c r="L70" s="120">
        <v>46064.0</v>
      </c>
      <c r="M70" s="75"/>
      <c r="N70" s="124">
        <v>46066.0</v>
      </c>
      <c r="O70" s="75"/>
      <c r="P70" s="5"/>
      <c r="Q70" s="119" t="s">
        <v>205</v>
      </c>
      <c r="R70" s="74"/>
      <c r="S70" s="74"/>
      <c r="T70" s="74"/>
      <c r="U70" s="74"/>
      <c r="V70" s="74"/>
      <c r="W70" s="74"/>
      <c r="X70" s="74"/>
      <c r="Y70" s="74"/>
      <c r="Z70" s="74"/>
      <c r="AA70" s="75"/>
      <c r="AB70" s="123"/>
      <c r="AC70" s="74"/>
      <c r="AD70" s="74"/>
      <c r="AE70" s="75"/>
    </row>
    <row r="71" ht="15.0" customHeight="1">
      <c r="A71" s="119" t="s">
        <v>206</v>
      </c>
      <c r="B71" s="74"/>
      <c r="C71" s="74"/>
      <c r="D71" s="74"/>
      <c r="E71" s="74"/>
      <c r="F71" s="74"/>
      <c r="G71" s="74"/>
      <c r="H71" s="74"/>
      <c r="I71" s="74"/>
      <c r="J71" s="74"/>
      <c r="K71" s="75"/>
      <c r="L71" s="123"/>
      <c r="M71" s="75"/>
      <c r="N71" s="123"/>
      <c r="O71" s="75"/>
      <c r="P71" s="5"/>
      <c r="Q71" s="117" t="s">
        <v>207</v>
      </c>
      <c r="R71" s="74"/>
      <c r="S71" s="74"/>
      <c r="T71" s="74"/>
      <c r="U71" s="74"/>
      <c r="V71" s="74"/>
      <c r="W71" s="74"/>
      <c r="X71" s="74"/>
      <c r="Y71" s="74"/>
      <c r="Z71" s="74"/>
      <c r="AA71" s="75"/>
      <c r="AB71" s="118" t="s">
        <v>208</v>
      </c>
      <c r="AC71" s="74"/>
      <c r="AD71" s="74"/>
      <c r="AE71" s="75"/>
    </row>
    <row r="72" ht="15.0" customHeight="1">
      <c r="A72" s="117" t="s">
        <v>209</v>
      </c>
      <c r="B72" s="74"/>
      <c r="C72" s="74"/>
      <c r="D72" s="74"/>
      <c r="E72" s="74"/>
      <c r="F72" s="74"/>
      <c r="G72" s="74"/>
      <c r="H72" s="74"/>
      <c r="I72" s="74"/>
      <c r="J72" s="74"/>
      <c r="K72" s="75"/>
      <c r="L72" s="118" t="s">
        <v>210</v>
      </c>
      <c r="M72" s="74"/>
      <c r="N72" s="74"/>
      <c r="O72" s="75"/>
      <c r="P72" s="5"/>
      <c r="Q72" s="119" t="s">
        <v>211</v>
      </c>
      <c r="R72" s="74"/>
      <c r="S72" s="74"/>
      <c r="T72" s="74"/>
      <c r="U72" s="74"/>
      <c r="V72" s="74"/>
      <c r="W72" s="74"/>
      <c r="X72" s="74"/>
      <c r="Y72" s="74"/>
      <c r="Z72" s="74"/>
      <c r="AA72" s="75"/>
      <c r="AB72" s="121">
        <v>46064.0</v>
      </c>
      <c r="AC72" s="75"/>
      <c r="AD72" s="122">
        <v>46066.0</v>
      </c>
      <c r="AE72" s="75"/>
    </row>
    <row r="73" ht="15.75" customHeight="1">
      <c r="A73" s="119" t="s">
        <v>212</v>
      </c>
      <c r="B73" s="74"/>
      <c r="C73" s="74"/>
      <c r="D73" s="74"/>
      <c r="E73" s="74"/>
      <c r="F73" s="74"/>
      <c r="G73" s="74"/>
      <c r="H73" s="74"/>
      <c r="I73" s="74"/>
      <c r="J73" s="74"/>
      <c r="K73" s="75"/>
      <c r="L73" s="123"/>
      <c r="M73" s="75"/>
      <c r="N73" s="123"/>
      <c r="O73" s="75"/>
      <c r="P73" s="5"/>
      <c r="Q73" s="119" t="s">
        <v>213</v>
      </c>
      <c r="R73" s="74"/>
      <c r="S73" s="74"/>
      <c r="T73" s="74"/>
      <c r="U73" s="74"/>
      <c r="V73" s="74"/>
      <c r="W73" s="74"/>
      <c r="X73" s="74"/>
      <c r="Y73" s="74"/>
      <c r="Z73" s="74"/>
      <c r="AA73" s="75"/>
      <c r="AB73" s="123"/>
      <c r="AC73" s="75"/>
      <c r="AD73" s="123"/>
      <c r="AE73" s="75"/>
    </row>
    <row r="74" ht="15.0" customHeight="1">
      <c r="A74" s="119" t="s">
        <v>214</v>
      </c>
      <c r="B74" s="74"/>
      <c r="C74" s="74"/>
      <c r="D74" s="74"/>
      <c r="E74" s="74"/>
      <c r="F74" s="74"/>
      <c r="G74" s="74"/>
      <c r="H74" s="74"/>
      <c r="I74" s="74"/>
      <c r="J74" s="74"/>
      <c r="K74" s="75"/>
      <c r="L74" s="123"/>
      <c r="M74" s="75"/>
      <c r="N74" s="123"/>
      <c r="O74" s="75"/>
      <c r="P74" s="5"/>
      <c r="Q74" s="119" t="s">
        <v>215</v>
      </c>
      <c r="R74" s="74"/>
      <c r="S74" s="74"/>
      <c r="T74" s="74"/>
      <c r="U74" s="74"/>
      <c r="V74" s="74"/>
      <c r="W74" s="74"/>
      <c r="X74" s="74"/>
      <c r="Y74" s="74"/>
      <c r="Z74" s="74"/>
      <c r="AA74" s="75"/>
      <c r="AB74" s="123"/>
      <c r="AC74" s="75"/>
      <c r="AD74" s="123"/>
      <c r="AE74" s="75"/>
    </row>
    <row r="75" ht="15.0" customHeight="1">
      <c r="A75" s="119" t="s">
        <v>216</v>
      </c>
      <c r="B75" s="74"/>
      <c r="C75" s="74"/>
      <c r="D75" s="74"/>
      <c r="E75" s="74"/>
      <c r="F75" s="74"/>
      <c r="G75" s="74"/>
      <c r="H75" s="74"/>
      <c r="I75" s="74"/>
      <c r="J75" s="74"/>
      <c r="K75" s="75"/>
      <c r="L75" s="123"/>
      <c r="M75" s="75"/>
      <c r="N75" s="123"/>
      <c r="O75" s="75"/>
      <c r="P75" s="5"/>
      <c r="Q75" s="119" t="s">
        <v>217</v>
      </c>
      <c r="R75" s="74"/>
      <c r="S75" s="74"/>
      <c r="T75" s="74"/>
      <c r="U75" s="74"/>
      <c r="V75" s="74"/>
      <c r="W75" s="74"/>
      <c r="X75" s="74"/>
      <c r="Y75" s="74"/>
      <c r="Z75" s="74"/>
      <c r="AA75" s="75"/>
      <c r="AB75" s="123"/>
      <c r="AC75" s="75"/>
      <c r="AD75" s="123"/>
      <c r="AE75" s="75"/>
    </row>
    <row r="76" ht="15.75" customHeight="1">
      <c r="A76" s="119" t="s">
        <v>218</v>
      </c>
      <c r="B76" s="74"/>
      <c r="C76" s="74"/>
      <c r="D76" s="74"/>
      <c r="E76" s="74"/>
      <c r="F76" s="74"/>
      <c r="G76" s="74"/>
      <c r="H76" s="74"/>
      <c r="I76" s="74"/>
      <c r="J76" s="74"/>
      <c r="K76" s="75"/>
      <c r="L76" s="123"/>
      <c r="M76" s="75"/>
      <c r="N76" s="123"/>
      <c r="O76" s="75"/>
      <c r="P76" s="5"/>
      <c r="Q76" s="119" t="s">
        <v>219</v>
      </c>
      <c r="R76" s="74"/>
      <c r="S76" s="74"/>
      <c r="T76" s="74"/>
      <c r="U76" s="74"/>
      <c r="V76" s="74"/>
      <c r="W76" s="74"/>
      <c r="X76" s="74"/>
      <c r="Y76" s="74"/>
      <c r="Z76" s="74"/>
      <c r="AA76" s="75"/>
      <c r="AB76" s="123"/>
      <c r="AC76" s="75"/>
      <c r="AD76" s="123"/>
      <c r="AE76" s="75"/>
    </row>
    <row r="77" ht="15.0" customHeight="1">
      <c r="A77" s="119" t="s">
        <v>220</v>
      </c>
      <c r="B77" s="74"/>
      <c r="C77" s="74"/>
      <c r="D77" s="74"/>
      <c r="E77" s="74"/>
      <c r="F77" s="74"/>
      <c r="G77" s="74"/>
      <c r="H77" s="74"/>
      <c r="I77" s="74"/>
      <c r="J77" s="74"/>
      <c r="K77" s="75"/>
      <c r="L77" s="123"/>
      <c r="M77" s="75"/>
      <c r="N77" s="123"/>
      <c r="O77" s="75"/>
      <c r="P77" s="5"/>
      <c r="Q77" s="119" t="s">
        <v>221</v>
      </c>
      <c r="R77" s="74"/>
      <c r="S77" s="74"/>
      <c r="T77" s="74"/>
      <c r="U77" s="74"/>
      <c r="V77" s="74"/>
      <c r="W77" s="74"/>
      <c r="X77" s="74"/>
      <c r="Y77" s="74"/>
      <c r="Z77" s="74"/>
      <c r="AA77" s="75"/>
      <c r="AB77" s="123"/>
      <c r="AC77" s="75"/>
      <c r="AD77" s="123"/>
      <c r="AE77" s="75"/>
    </row>
    <row r="78" ht="15.0" customHeight="1">
      <c r="A78" s="117" t="s">
        <v>222</v>
      </c>
      <c r="B78" s="74"/>
      <c r="C78" s="74"/>
      <c r="D78" s="74"/>
      <c r="E78" s="74"/>
      <c r="F78" s="74"/>
      <c r="G78" s="74"/>
      <c r="H78" s="74"/>
      <c r="I78" s="74"/>
      <c r="J78" s="74"/>
      <c r="K78" s="75"/>
      <c r="L78" s="118" t="s">
        <v>223</v>
      </c>
      <c r="M78" s="74"/>
      <c r="N78" s="74"/>
      <c r="O78" s="75"/>
      <c r="P78" s="5"/>
      <c r="Q78" s="119" t="s">
        <v>224</v>
      </c>
      <c r="R78" s="74"/>
      <c r="S78" s="74"/>
      <c r="T78" s="74"/>
      <c r="U78" s="74"/>
      <c r="V78" s="74"/>
      <c r="W78" s="74"/>
      <c r="X78" s="74"/>
      <c r="Y78" s="74"/>
      <c r="Z78" s="74"/>
      <c r="AA78" s="75"/>
      <c r="AB78" s="123"/>
      <c r="AC78" s="75"/>
      <c r="AD78" s="123"/>
      <c r="AE78" s="75"/>
    </row>
    <row r="79" ht="15.0" customHeight="1">
      <c r="A79" s="119" t="s">
        <v>225</v>
      </c>
      <c r="B79" s="74"/>
      <c r="C79" s="74"/>
      <c r="D79" s="74"/>
      <c r="E79" s="74"/>
      <c r="F79" s="74"/>
      <c r="G79" s="74"/>
      <c r="H79" s="74"/>
      <c r="I79" s="74"/>
      <c r="J79" s="74"/>
      <c r="K79" s="75"/>
      <c r="L79" s="123"/>
      <c r="M79" s="75"/>
      <c r="N79" s="123"/>
      <c r="O79" s="75"/>
      <c r="P79" s="5"/>
      <c r="Q79" s="119" t="s">
        <v>226</v>
      </c>
      <c r="R79" s="74"/>
      <c r="S79" s="74"/>
      <c r="T79" s="74"/>
      <c r="U79" s="74"/>
      <c r="V79" s="74"/>
      <c r="W79" s="74"/>
      <c r="X79" s="74"/>
      <c r="Y79" s="74"/>
      <c r="Z79" s="74"/>
      <c r="AA79" s="75"/>
      <c r="AB79" s="123"/>
      <c r="AC79" s="74"/>
      <c r="AD79" s="74"/>
      <c r="AE79" s="75"/>
    </row>
    <row r="80" ht="15.75" customHeight="1">
      <c r="A80" s="119" t="s">
        <v>227</v>
      </c>
      <c r="B80" s="74"/>
      <c r="C80" s="74"/>
      <c r="D80" s="74"/>
      <c r="E80" s="74"/>
      <c r="F80" s="74"/>
      <c r="G80" s="74"/>
      <c r="H80" s="74"/>
      <c r="I80" s="74"/>
      <c r="J80" s="74"/>
      <c r="K80" s="75"/>
      <c r="L80" s="123"/>
      <c r="M80" s="75"/>
      <c r="N80" s="123"/>
      <c r="O80" s="75"/>
      <c r="P80" s="5"/>
      <c r="Q80" s="118" t="s">
        <v>228</v>
      </c>
      <c r="R80" s="74"/>
      <c r="S80" s="74"/>
      <c r="T80" s="74"/>
      <c r="U80" s="74"/>
      <c r="V80" s="74"/>
      <c r="W80" s="74"/>
      <c r="X80" s="74"/>
      <c r="Y80" s="74"/>
      <c r="Z80" s="74"/>
      <c r="AA80" s="75"/>
      <c r="AB80" s="118" t="s">
        <v>229</v>
      </c>
      <c r="AC80" s="74"/>
      <c r="AD80" s="74"/>
      <c r="AE80" s="75"/>
    </row>
    <row r="81" ht="15.0" customHeight="1">
      <c r="A81" s="119" t="s">
        <v>230</v>
      </c>
      <c r="B81" s="74"/>
      <c r="C81" s="74"/>
      <c r="D81" s="74"/>
      <c r="E81" s="74"/>
      <c r="F81" s="74"/>
      <c r="G81" s="74"/>
      <c r="H81" s="74"/>
      <c r="I81" s="74"/>
      <c r="J81" s="74"/>
      <c r="K81" s="75"/>
      <c r="L81" s="123"/>
      <c r="M81" s="75"/>
      <c r="N81" s="123"/>
      <c r="O81" s="75"/>
      <c r="P81" s="5"/>
      <c r="Q81" s="125" t="s">
        <v>231</v>
      </c>
      <c r="R81" s="96"/>
      <c r="S81" s="96"/>
      <c r="T81" s="96"/>
      <c r="U81" s="96"/>
      <c r="V81" s="96"/>
      <c r="W81" s="96"/>
      <c r="X81" s="96"/>
      <c r="Y81" s="96"/>
      <c r="Z81" s="96"/>
      <c r="AA81" s="97"/>
      <c r="AB81" s="126"/>
      <c r="AC81" s="97"/>
      <c r="AD81" s="126"/>
      <c r="AE81" s="97"/>
    </row>
    <row r="82" ht="15.0" customHeight="1">
      <c r="A82" s="119" t="s">
        <v>232</v>
      </c>
      <c r="B82" s="74"/>
      <c r="C82" s="74"/>
      <c r="D82" s="74"/>
      <c r="E82" s="74"/>
      <c r="F82" s="74"/>
      <c r="G82" s="74"/>
      <c r="H82" s="74"/>
      <c r="I82" s="74"/>
      <c r="J82" s="74"/>
      <c r="K82" s="75"/>
      <c r="L82" s="123"/>
      <c r="M82" s="75"/>
      <c r="N82" s="123"/>
      <c r="O82" s="75"/>
      <c r="P82" s="5"/>
      <c r="Q82" s="127"/>
      <c r="R82" s="102"/>
      <c r="S82" s="102"/>
      <c r="T82" s="102"/>
      <c r="U82" s="102"/>
      <c r="V82" s="102"/>
      <c r="W82" s="102"/>
      <c r="X82" s="102"/>
      <c r="Y82" s="102"/>
      <c r="Z82" s="102"/>
      <c r="AA82" s="103"/>
      <c r="AB82" s="127"/>
      <c r="AC82" s="103"/>
      <c r="AD82" s="127"/>
      <c r="AE82" s="103"/>
    </row>
    <row r="83" ht="15.75" customHeight="1">
      <c r="A83" s="117" t="s">
        <v>233</v>
      </c>
      <c r="B83" s="74"/>
      <c r="C83" s="74"/>
      <c r="D83" s="74"/>
      <c r="E83" s="74"/>
      <c r="F83" s="74"/>
      <c r="G83" s="74"/>
      <c r="H83" s="74"/>
      <c r="I83" s="74"/>
      <c r="J83" s="74"/>
      <c r="K83" s="75"/>
      <c r="L83" s="118" t="s">
        <v>234</v>
      </c>
      <c r="M83" s="74"/>
      <c r="N83" s="74"/>
      <c r="O83" s="75"/>
      <c r="P83" s="5"/>
      <c r="Q83" s="125" t="s">
        <v>235</v>
      </c>
      <c r="R83" s="96"/>
      <c r="S83" s="96"/>
      <c r="T83" s="96"/>
      <c r="U83" s="96"/>
      <c r="V83" s="96"/>
      <c r="W83" s="96"/>
      <c r="X83" s="96"/>
      <c r="Y83" s="96"/>
      <c r="Z83" s="96"/>
      <c r="AA83" s="97"/>
      <c r="AB83" s="126"/>
      <c r="AC83" s="97"/>
      <c r="AD83" s="126"/>
      <c r="AE83" s="97"/>
    </row>
    <row r="84" ht="15.0" customHeight="1">
      <c r="A84" s="119" t="s">
        <v>236</v>
      </c>
      <c r="B84" s="74"/>
      <c r="C84" s="74"/>
      <c r="D84" s="74"/>
      <c r="E84" s="74"/>
      <c r="F84" s="74"/>
      <c r="G84" s="74"/>
      <c r="H84" s="74"/>
      <c r="I84" s="74"/>
      <c r="J84" s="74"/>
      <c r="K84" s="75"/>
      <c r="L84" s="120">
        <v>46072.0</v>
      </c>
      <c r="M84" s="75"/>
      <c r="N84" s="124">
        <v>46171.0</v>
      </c>
      <c r="O84" s="75"/>
      <c r="P84" s="5"/>
      <c r="Q84" s="127"/>
      <c r="R84" s="102"/>
      <c r="S84" s="102"/>
      <c r="T84" s="102"/>
      <c r="U84" s="102"/>
      <c r="V84" s="102"/>
      <c r="W84" s="102"/>
      <c r="X84" s="102"/>
      <c r="Y84" s="102"/>
      <c r="Z84" s="102"/>
      <c r="AA84" s="103"/>
      <c r="AB84" s="127"/>
      <c r="AC84" s="103"/>
      <c r="AD84" s="127"/>
      <c r="AE84" s="103"/>
    </row>
    <row r="85" ht="15.0" customHeight="1">
      <c r="A85" s="119" t="s">
        <v>237</v>
      </c>
      <c r="B85" s="74"/>
      <c r="C85" s="74"/>
      <c r="D85" s="74"/>
      <c r="E85" s="74"/>
      <c r="F85" s="74"/>
      <c r="G85" s="74"/>
      <c r="H85" s="74"/>
      <c r="I85" s="74"/>
      <c r="J85" s="74"/>
      <c r="K85" s="75"/>
      <c r="L85" s="120">
        <v>46179.0</v>
      </c>
      <c r="M85" s="74"/>
      <c r="N85" s="74"/>
      <c r="O85" s="75"/>
      <c r="P85" s="5"/>
      <c r="Q85" s="125" t="s">
        <v>238</v>
      </c>
      <c r="R85" s="96"/>
      <c r="S85" s="96"/>
      <c r="T85" s="96"/>
      <c r="U85" s="96"/>
      <c r="V85" s="96"/>
      <c r="W85" s="96"/>
      <c r="X85" s="96"/>
      <c r="Y85" s="96"/>
      <c r="Z85" s="96"/>
      <c r="AA85" s="97"/>
      <c r="AB85" s="126"/>
      <c r="AC85" s="97"/>
      <c r="AD85" s="126"/>
      <c r="AE85" s="97"/>
    </row>
    <row r="86" ht="15.0" customHeight="1">
      <c r="A86" s="119" t="s">
        <v>239</v>
      </c>
      <c r="B86" s="74"/>
      <c r="C86" s="74"/>
      <c r="D86" s="74"/>
      <c r="E86" s="74"/>
      <c r="F86" s="74"/>
      <c r="G86" s="74"/>
      <c r="H86" s="74"/>
      <c r="I86" s="74"/>
      <c r="J86" s="74"/>
      <c r="K86" s="75"/>
      <c r="L86" s="122">
        <v>46181.0</v>
      </c>
      <c r="M86" s="75"/>
      <c r="N86" s="121">
        <v>46185.0</v>
      </c>
      <c r="O86" s="75"/>
      <c r="P86" s="5"/>
      <c r="Q86" s="127"/>
      <c r="R86" s="102"/>
      <c r="S86" s="102"/>
      <c r="T86" s="102"/>
      <c r="U86" s="102"/>
      <c r="V86" s="102"/>
      <c r="W86" s="102"/>
      <c r="X86" s="102"/>
      <c r="Y86" s="102"/>
      <c r="Z86" s="102"/>
      <c r="AA86" s="103"/>
      <c r="AB86" s="127"/>
      <c r="AC86" s="103"/>
      <c r="AD86" s="127"/>
      <c r="AE86" s="103"/>
    </row>
    <row r="87" ht="30.75" customHeight="1">
      <c r="A87" s="119" t="s">
        <v>240</v>
      </c>
      <c r="B87" s="74"/>
      <c r="C87" s="74"/>
      <c r="D87" s="74"/>
      <c r="E87" s="74"/>
      <c r="F87" s="74"/>
      <c r="G87" s="74"/>
      <c r="H87" s="74"/>
      <c r="I87" s="74"/>
      <c r="J87" s="74"/>
      <c r="K87" s="75"/>
      <c r="L87" s="128">
        <v>46211.0</v>
      </c>
      <c r="M87" s="74"/>
      <c r="N87" s="74"/>
      <c r="O87" s="75"/>
      <c r="P87" s="34"/>
      <c r="Q87" s="119" t="s">
        <v>241</v>
      </c>
      <c r="R87" s="74"/>
      <c r="S87" s="74"/>
      <c r="T87" s="74"/>
      <c r="U87" s="74"/>
      <c r="V87" s="74"/>
      <c r="W87" s="74"/>
      <c r="X87" s="74"/>
      <c r="Y87" s="74"/>
      <c r="Z87" s="74"/>
      <c r="AA87" s="75"/>
      <c r="AB87" s="129"/>
      <c r="AC87" s="75"/>
      <c r="AD87" s="129"/>
      <c r="AE87" s="75"/>
    </row>
    <row r="88" ht="15.0" customHeight="1">
      <c r="A88" s="119" t="s">
        <v>242</v>
      </c>
      <c r="B88" s="74"/>
      <c r="C88" s="74"/>
      <c r="D88" s="74"/>
      <c r="E88" s="74"/>
      <c r="F88" s="74"/>
      <c r="G88" s="74"/>
      <c r="H88" s="74"/>
      <c r="I88" s="74"/>
      <c r="J88" s="74"/>
      <c r="K88" s="75"/>
      <c r="L88" s="122">
        <v>46072.0</v>
      </c>
      <c r="M88" s="75"/>
      <c r="N88" s="121">
        <v>46092.0</v>
      </c>
      <c r="O88" s="75"/>
      <c r="P88" s="5"/>
      <c r="Q88" s="125" t="s">
        <v>243</v>
      </c>
      <c r="R88" s="96"/>
      <c r="S88" s="96"/>
      <c r="T88" s="96"/>
      <c r="U88" s="96"/>
      <c r="V88" s="96"/>
      <c r="W88" s="96"/>
      <c r="X88" s="96"/>
      <c r="Y88" s="96"/>
      <c r="Z88" s="96"/>
      <c r="AA88" s="97"/>
      <c r="AB88" s="126"/>
      <c r="AC88" s="97"/>
      <c r="AD88" s="126"/>
      <c r="AE88" s="97"/>
    </row>
    <row r="89" ht="15.75" customHeight="1">
      <c r="A89" s="119" t="s">
        <v>244</v>
      </c>
      <c r="B89" s="74"/>
      <c r="C89" s="74"/>
      <c r="D89" s="74"/>
      <c r="E89" s="74"/>
      <c r="F89" s="74"/>
      <c r="G89" s="74"/>
      <c r="H89" s="74"/>
      <c r="I89" s="74"/>
      <c r="J89" s="74"/>
      <c r="K89" s="75"/>
      <c r="L89" s="123"/>
      <c r="M89" s="75"/>
      <c r="N89" s="123"/>
      <c r="O89" s="75"/>
      <c r="P89" s="5"/>
      <c r="Q89" s="127"/>
      <c r="R89" s="102"/>
      <c r="S89" s="102"/>
      <c r="T89" s="102"/>
      <c r="U89" s="102"/>
      <c r="V89" s="102"/>
      <c r="W89" s="102"/>
      <c r="X89" s="102"/>
      <c r="Y89" s="102"/>
      <c r="Z89" s="102"/>
      <c r="AA89" s="103"/>
      <c r="AB89" s="127"/>
      <c r="AC89" s="103"/>
      <c r="AD89" s="127"/>
      <c r="AE89" s="103"/>
    </row>
    <row r="90" ht="15.0" customHeight="1">
      <c r="A90" s="119" t="s">
        <v>245</v>
      </c>
      <c r="B90" s="74"/>
      <c r="C90" s="74"/>
      <c r="D90" s="74"/>
      <c r="E90" s="74"/>
      <c r="F90" s="74"/>
      <c r="G90" s="74"/>
      <c r="H90" s="74"/>
      <c r="I90" s="74"/>
      <c r="J90" s="74"/>
      <c r="K90" s="75"/>
      <c r="L90" s="123"/>
      <c r="M90" s="75"/>
      <c r="N90" s="123"/>
      <c r="O90" s="75"/>
      <c r="P90" s="5"/>
      <c r="Q90" s="130" t="s">
        <v>246</v>
      </c>
      <c r="R90" s="96"/>
      <c r="S90" s="96"/>
      <c r="T90" s="96"/>
      <c r="U90" s="96"/>
      <c r="V90" s="96"/>
      <c r="W90" s="96"/>
      <c r="X90" s="96"/>
      <c r="Y90" s="96"/>
      <c r="Z90" s="96"/>
      <c r="AA90" s="97"/>
      <c r="AB90" s="126"/>
      <c r="AC90" s="97"/>
      <c r="AD90" s="126"/>
      <c r="AE90" s="97"/>
    </row>
    <row r="91" ht="15.0" customHeight="1">
      <c r="A91" s="119" t="s">
        <v>247</v>
      </c>
      <c r="B91" s="74"/>
      <c r="C91" s="74"/>
      <c r="D91" s="74"/>
      <c r="E91" s="74"/>
      <c r="F91" s="74"/>
      <c r="G91" s="74"/>
      <c r="H91" s="74"/>
      <c r="I91" s="74"/>
      <c r="J91" s="74"/>
      <c r="K91" s="75"/>
      <c r="L91" s="122">
        <v>46072.0</v>
      </c>
      <c r="M91" s="75"/>
      <c r="N91" s="121">
        <v>46087.0</v>
      </c>
      <c r="O91" s="75"/>
      <c r="P91" s="5"/>
      <c r="Q91" s="127"/>
      <c r="R91" s="102"/>
      <c r="S91" s="102"/>
      <c r="T91" s="102"/>
      <c r="U91" s="102"/>
      <c r="V91" s="102"/>
      <c r="W91" s="102"/>
      <c r="X91" s="102"/>
      <c r="Y91" s="102"/>
      <c r="Z91" s="102"/>
      <c r="AA91" s="103"/>
      <c r="AB91" s="127"/>
      <c r="AC91" s="103"/>
      <c r="AD91" s="127"/>
      <c r="AE91" s="103"/>
    </row>
    <row r="92" ht="15.0" customHeight="1">
      <c r="A92" s="117" t="s">
        <v>248</v>
      </c>
      <c r="B92" s="74"/>
      <c r="C92" s="74"/>
      <c r="D92" s="74"/>
      <c r="E92" s="74"/>
      <c r="F92" s="74"/>
      <c r="G92" s="74"/>
      <c r="H92" s="74"/>
      <c r="I92" s="74"/>
      <c r="J92" s="74"/>
      <c r="K92" s="75"/>
      <c r="L92" s="118" t="s">
        <v>249</v>
      </c>
      <c r="M92" s="74"/>
      <c r="N92" s="74"/>
      <c r="O92" s="75"/>
      <c r="P92" s="5"/>
      <c r="Q92" s="117" t="s">
        <v>250</v>
      </c>
      <c r="R92" s="74"/>
      <c r="S92" s="74"/>
      <c r="T92" s="74"/>
      <c r="U92" s="74"/>
      <c r="V92" s="74"/>
      <c r="W92" s="74"/>
      <c r="X92" s="74"/>
      <c r="Y92" s="74"/>
      <c r="Z92" s="74"/>
      <c r="AA92" s="75"/>
      <c r="AB92" s="118" t="s">
        <v>251</v>
      </c>
      <c r="AC92" s="74"/>
      <c r="AD92" s="74"/>
      <c r="AE92" s="75"/>
    </row>
    <row r="93" ht="15.75" customHeight="1">
      <c r="A93" s="119" t="s">
        <v>252</v>
      </c>
      <c r="B93" s="74"/>
      <c r="C93" s="74"/>
      <c r="D93" s="74"/>
      <c r="E93" s="74"/>
      <c r="F93" s="74"/>
      <c r="G93" s="74"/>
      <c r="H93" s="74"/>
      <c r="I93" s="74"/>
      <c r="J93" s="74"/>
      <c r="K93" s="75"/>
      <c r="L93" s="122">
        <v>46174.0</v>
      </c>
      <c r="M93" s="75"/>
      <c r="N93" s="121">
        <v>46276.0</v>
      </c>
      <c r="O93" s="75"/>
      <c r="P93" s="5"/>
      <c r="Q93" s="119" t="s">
        <v>253</v>
      </c>
      <c r="R93" s="74"/>
      <c r="S93" s="74"/>
      <c r="T93" s="74"/>
      <c r="U93" s="74"/>
      <c r="V93" s="74"/>
      <c r="W93" s="74"/>
      <c r="X93" s="74"/>
      <c r="Y93" s="74"/>
      <c r="Z93" s="74"/>
      <c r="AA93" s="75"/>
      <c r="AB93" s="121">
        <v>46195.0</v>
      </c>
      <c r="AC93" s="75"/>
      <c r="AD93" s="122">
        <v>46206.0</v>
      </c>
      <c r="AE93" s="75"/>
    </row>
    <row r="94" ht="15.0" customHeight="1">
      <c r="A94" s="119" t="s">
        <v>254</v>
      </c>
      <c r="B94" s="74"/>
      <c r="C94" s="74"/>
      <c r="D94" s="74"/>
      <c r="E94" s="74"/>
      <c r="F94" s="74"/>
      <c r="G94" s="74"/>
      <c r="H94" s="74"/>
      <c r="I94" s="74"/>
      <c r="J94" s="74"/>
      <c r="K94" s="75"/>
      <c r="L94" s="122">
        <v>46283.0</v>
      </c>
      <c r="M94" s="74"/>
      <c r="N94" s="74"/>
      <c r="O94" s="75"/>
      <c r="P94" s="5"/>
      <c r="Q94" s="119" t="s">
        <v>255</v>
      </c>
      <c r="R94" s="74"/>
      <c r="S94" s="74"/>
      <c r="T94" s="74"/>
      <c r="U94" s="74"/>
      <c r="V94" s="74"/>
      <c r="W94" s="74"/>
      <c r="X94" s="74"/>
      <c r="Y94" s="74"/>
      <c r="Z94" s="74"/>
      <c r="AA94" s="75"/>
      <c r="AB94" s="121">
        <v>46391.0</v>
      </c>
      <c r="AC94" s="75"/>
      <c r="AD94" s="122">
        <v>46423.0</v>
      </c>
      <c r="AE94" s="75"/>
    </row>
    <row r="95" ht="15.0" customHeight="1">
      <c r="A95" s="119" t="s">
        <v>256</v>
      </c>
      <c r="B95" s="74"/>
      <c r="C95" s="74"/>
      <c r="D95" s="74"/>
      <c r="E95" s="74"/>
      <c r="F95" s="74"/>
      <c r="G95" s="74"/>
      <c r="H95" s="74"/>
      <c r="I95" s="74"/>
      <c r="J95" s="74"/>
      <c r="K95" s="75"/>
      <c r="L95" s="122">
        <v>46286.0</v>
      </c>
      <c r="M95" s="75"/>
      <c r="N95" s="122">
        <v>46290.0</v>
      </c>
      <c r="O95" s="75"/>
      <c r="P95" s="5"/>
      <c r="Q95" s="117" t="s">
        <v>257</v>
      </c>
      <c r="R95" s="74"/>
      <c r="S95" s="74"/>
      <c r="T95" s="74"/>
      <c r="U95" s="74"/>
      <c r="V95" s="74"/>
      <c r="W95" s="74"/>
      <c r="X95" s="74"/>
      <c r="Y95" s="74"/>
      <c r="Z95" s="74"/>
      <c r="AA95" s="75"/>
      <c r="AB95" s="118" t="s">
        <v>258</v>
      </c>
      <c r="AC95" s="74"/>
      <c r="AD95" s="74"/>
      <c r="AE95" s="75"/>
    </row>
    <row r="96" ht="15.0" customHeight="1">
      <c r="A96" s="125" t="s">
        <v>259</v>
      </c>
      <c r="B96" s="96"/>
      <c r="C96" s="96"/>
      <c r="D96" s="96"/>
      <c r="E96" s="96"/>
      <c r="F96" s="96"/>
      <c r="G96" s="96"/>
      <c r="H96" s="96"/>
      <c r="I96" s="96"/>
      <c r="J96" s="96"/>
      <c r="K96" s="97"/>
      <c r="L96" s="131">
        <v>46302.0</v>
      </c>
      <c r="M96" s="96"/>
      <c r="N96" s="96"/>
      <c r="O96" s="97"/>
      <c r="P96" s="5"/>
      <c r="Q96" s="119" t="s">
        <v>260</v>
      </c>
      <c r="R96" s="74"/>
      <c r="S96" s="74"/>
      <c r="T96" s="74"/>
      <c r="U96" s="74"/>
      <c r="V96" s="74"/>
      <c r="W96" s="74"/>
      <c r="X96" s="74"/>
      <c r="Y96" s="74"/>
      <c r="Z96" s="74"/>
      <c r="AA96" s="75"/>
      <c r="AB96" s="123"/>
      <c r="AC96" s="75"/>
      <c r="AD96" s="123"/>
      <c r="AE96" s="75"/>
    </row>
    <row r="97" ht="15.0" customHeight="1">
      <c r="A97" s="127"/>
      <c r="B97" s="102"/>
      <c r="C97" s="102"/>
      <c r="D97" s="102"/>
      <c r="E97" s="102"/>
      <c r="F97" s="102"/>
      <c r="G97" s="102"/>
      <c r="H97" s="102"/>
      <c r="I97" s="102"/>
      <c r="J97" s="102"/>
      <c r="K97" s="103"/>
      <c r="L97" s="127"/>
      <c r="M97" s="102"/>
      <c r="N97" s="102"/>
      <c r="O97" s="103"/>
      <c r="P97" s="5"/>
      <c r="Q97" s="119" t="s">
        <v>261</v>
      </c>
      <c r="R97" s="74"/>
      <c r="S97" s="74"/>
      <c r="T97" s="74"/>
      <c r="U97" s="74"/>
      <c r="V97" s="74"/>
      <c r="W97" s="74"/>
      <c r="X97" s="74"/>
      <c r="Y97" s="74"/>
      <c r="Z97" s="74"/>
      <c r="AA97" s="75"/>
      <c r="AB97" s="123"/>
      <c r="AC97" s="75"/>
      <c r="AD97" s="123"/>
      <c r="AE97" s="75"/>
    </row>
    <row r="98" ht="15.75" customHeight="1">
      <c r="A98" s="119" t="s">
        <v>262</v>
      </c>
      <c r="B98" s="74"/>
      <c r="C98" s="74"/>
      <c r="D98" s="74"/>
      <c r="E98" s="74"/>
      <c r="F98" s="74"/>
      <c r="G98" s="74"/>
      <c r="H98" s="74"/>
      <c r="I98" s="74"/>
      <c r="J98" s="74"/>
      <c r="K98" s="75"/>
      <c r="L98" s="123"/>
      <c r="M98" s="75"/>
      <c r="N98" s="123"/>
      <c r="O98" s="75"/>
      <c r="P98" s="5"/>
      <c r="Q98" s="119" t="s">
        <v>263</v>
      </c>
      <c r="R98" s="74"/>
      <c r="S98" s="74"/>
      <c r="T98" s="74"/>
      <c r="U98" s="74"/>
      <c r="V98" s="74"/>
      <c r="W98" s="74"/>
      <c r="X98" s="74"/>
      <c r="Y98" s="74"/>
      <c r="Z98" s="74"/>
      <c r="AA98" s="75"/>
      <c r="AB98" s="123"/>
      <c r="AC98" s="75"/>
      <c r="AD98" s="123"/>
      <c r="AE98" s="75"/>
    </row>
    <row r="99" ht="15.0" customHeight="1">
      <c r="A99" s="119" t="s">
        <v>264</v>
      </c>
      <c r="B99" s="74"/>
      <c r="C99" s="74"/>
      <c r="D99" s="74"/>
      <c r="E99" s="74"/>
      <c r="F99" s="74"/>
      <c r="G99" s="74"/>
      <c r="H99" s="74"/>
      <c r="I99" s="74"/>
      <c r="J99" s="74"/>
      <c r="K99" s="75"/>
      <c r="L99" s="123"/>
      <c r="M99" s="74"/>
      <c r="N99" s="74"/>
      <c r="O99" s="75"/>
      <c r="P99" s="5"/>
      <c r="Q99" s="119" t="s">
        <v>265</v>
      </c>
      <c r="R99" s="74"/>
      <c r="S99" s="74"/>
      <c r="T99" s="74"/>
      <c r="U99" s="74"/>
      <c r="V99" s="74"/>
      <c r="W99" s="74"/>
      <c r="X99" s="74"/>
      <c r="Y99" s="74"/>
      <c r="Z99" s="74"/>
      <c r="AA99" s="75"/>
      <c r="AB99" s="123"/>
      <c r="AC99" s="75"/>
      <c r="AD99" s="123"/>
      <c r="AE99" s="75"/>
    </row>
  </sheetData>
  <mergeCells count="364">
    <mergeCell ref="J10:J12"/>
    <mergeCell ref="K10:K12"/>
    <mergeCell ref="H17:H18"/>
    <mergeCell ref="H21:H23"/>
    <mergeCell ref="L10:L12"/>
    <mergeCell ref="M10:M12"/>
    <mergeCell ref="N10:N12"/>
    <mergeCell ref="O10:O12"/>
    <mergeCell ref="U10:U12"/>
    <mergeCell ref="V10:V12"/>
    <mergeCell ref="AD13:AD15"/>
    <mergeCell ref="AE13:AE15"/>
    <mergeCell ref="A14:W14"/>
    <mergeCell ref="A16:AE16"/>
    <mergeCell ref="A17:G17"/>
    <mergeCell ref="I17:O17"/>
    <mergeCell ref="Q17:W17"/>
    <mergeCell ref="Y17:AE17"/>
    <mergeCell ref="Z10:Z12"/>
    <mergeCell ref="AA10:AA12"/>
    <mergeCell ref="Y13:Y15"/>
    <mergeCell ref="Z13:Z15"/>
    <mergeCell ref="AA13:AA15"/>
    <mergeCell ref="AB13:AB15"/>
    <mergeCell ref="AC13:AC15"/>
    <mergeCell ref="E52:F52"/>
    <mergeCell ref="G52:H52"/>
    <mergeCell ref="N52:P52"/>
    <mergeCell ref="Q52:R52"/>
    <mergeCell ref="N53:O53"/>
    <mergeCell ref="S53:T53"/>
    <mergeCell ref="U53:X53"/>
    <mergeCell ref="N54:O54"/>
    <mergeCell ref="S54:T54"/>
    <mergeCell ref="U54:X54"/>
    <mergeCell ref="Z51:AD51"/>
    <mergeCell ref="Z52:AD52"/>
    <mergeCell ref="Z53:AD53"/>
    <mergeCell ref="Z54:AD54"/>
    <mergeCell ref="B51:D51"/>
    <mergeCell ref="E51:F51"/>
    <mergeCell ref="N51:P51"/>
    <mergeCell ref="Q51:R51"/>
    <mergeCell ref="S51:X51"/>
    <mergeCell ref="B52:D52"/>
    <mergeCell ref="S52:X52"/>
    <mergeCell ref="Z55:AA55"/>
    <mergeCell ref="AB55:AC55"/>
    <mergeCell ref="E55:F55"/>
    <mergeCell ref="G55:H55"/>
    <mergeCell ref="I55:J55"/>
    <mergeCell ref="K55:L55"/>
    <mergeCell ref="N55:O55"/>
    <mergeCell ref="S55:T55"/>
    <mergeCell ref="U55:X55"/>
    <mergeCell ref="U56:X56"/>
    <mergeCell ref="C57:Y57"/>
    <mergeCell ref="Z57:AA57"/>
    <mergeCell ref="AB57:AC57"/>
    <mergeCell ref="C56:D56"/>
    <mergeCell ref="E56:F56"/>
    <mergeCell ref="G56:H56"/>
    <mergeCell ref="N56:O56"/>
    <mergeCell ref="S56:T56"/>
    <mergeCell ref="Z56:AA56"/>
    <mergeCell ref="AB56:AC56"/>
    <mergeCell ref="B53:D53"/>
    <mergeCell ref="E53:F53"/>
    <mergeCell ref="G53:H53"/>
    <mergeCell ref="B54:D54"/>
    <mergeCell ref="E54:F54"/>
    <mergeCell ref="G54:H54"/>
    <mergeCell ref="C55:D55"/>
    <mergeCell ref="U58:Y58"/>
    <mergeCell ref="Z58:AA58"/>
    <mergeCell ref="AB58:AC58"/>
    <mergeCell ref="C59:D59"/>
    <mergeCell ref="E59:I59"/>
    <mergeCell ref="K59:L59"/>
    <mergeCell ref="M59:Q59"/>
    <mergeCell ref="U59:Y59"/>
    <mergeCell ref="Z59:AA59"/>
    <mergeCell ref="AB59:AC59"/>
    <mergeCell ref="C58:D58"/>
    <mergeCell ref="C60:D60"/>
    <mergeCell ref="C61:D61"/>
    <mergeCell ref="E60:I60"/>
    <mergeCell ref="K60:L60"/>
    <mergeCell ref="S59:T59"/>
    <mergeCell ref="S60:T60"/>
    <mergeCell ref="U60:Y60"/>
    <mergeCell ref="Z60:AA60"/>
    <mergeCell ref="AB60:AC60"/>
    <mergeCell ref="U61:Y61"/>
    <mergeCell ref="Z61:AA61"/>
    <mergeCell ref="AB61:AC61"/>
    <mergeCell ref="E61:I61"/>
    <mergeCell ref="K61:L61"/>
    <mergeCell ref="M61:Q61"/>
    <mergeCell ref="S61:T61"/>
    <mergeCell ref="K62:L62"/>
    <mergeCell ref="M62:Q62"/>
    <mergeCell ref="U62:Y62"/>
    <mergeCell ref="Z62:AA62"/>
    <mergeCell ref="AB62:AC62"/>
    <mergeCell ref="E58:I58"/>
    <mergeCell ref="J58:J62"/>
    <mergeCell ref="K58:L58"/>
    <mergeCell ref="M58:Q58"/>
    <mergeCell ref="R58:R62"/>
    <mergeCell ref="S58:T58"/>
    <mergeCell ref="M60:Q60"/>
    <mergeCell ref="S62:T62"/>
    <mergeCell ref="C62:D62"/>
    <mergeCell ref="E62:I62"/>
    <mergeCell ref="C63:R63"/>
    <mergeCell ref="S63:T63"/>
    <mergeCell ref="U63:Y63"/>
    <mergeCell ref="Z63:AA63"/>
    <mergeCell ref="AB63:AC63"/>
    <mergeCell ref="Q66:AA66"/>
    <mergeCell ref="AB66:AC66"/>
    <mergeCell ref="Q67:AA67"/>
    <mergeCell ref="AB67:AE67"/>
    <mergeCell ref="Q68:AA68"/>
    <mergeCell ref="AB68:AC68"/>
    <mergeCell ref="AD68:AE68"/>
    <mergeCell ref="A64:AE64"/>
    <mergeCell ref="A65:K65"/>
    <mergeCell ref="L65:O65"/>
    <mergeCell ref="Q65:AA65"/>
    <mergeCell ref="AB65:AE65"/>
    <mergeCell ref="L66:O66"/>
    <mergeCell ref="AD66:AE66"/>
    <mergeCell ref="A84:K84"/>
    <mergeCell ref="L84:M84"/>
    <mergeCell ref="A85:K85"/>
    <mergeCell ref="L85:O85"/>
    <mergeCell ref="Q85:AA86"/>
    <mergeCell ref="AB85:AC86"/>
    <mergeCell ref="AD85:AE86"/>
    <mergeCell ref="N86:O86"/>
    <mergeCell ref="A86:K86"/>
    <mergeCell ref="L86:M86"/>
    <mergeCell ref="A87:K87"/>
    <mergeCell ref="L87:O87"/>
    <mergeCell ref="Q87:AA87"/>
    <mergeCell ref="AB87:AC87"/>
    <mergeCell ref="AD87:AE87"/>
    <mergeCell ref="A88:K88"/>
    <mergeCell ref="L88:M88"/>
    <mergeCell ref="N88:O88"/>
    <mergeCell ref="Q88:AA89"/>
    <mergeCell ref="AB88:AC89"/>
    <mergeCell ref="AD88:AE89"/>
    <mergeCell ref="A89:K89"/>
    <mergeCell ref="L91:M91"/>
    <mergeCell ref="N91:O91"/>
    <mergeCell ref="L89:M89"/>
    <mergeCell ref="N89:O89"/>
    <mergeCell ref="L90:M90"/>
    <mergeCell ref="N90:O90"/>
    <mergeCell ref="Q90:AA91"/>
    <mergeCell ref="AB90:AC91"/>
    <mergeCell ref="AD90:AE91"/>
    <mergeCell ref="Q93:AA93"/>
    <mergeCell ref="AB93:AC93"/>
    <mergeCell ref="A90:K90"/>
    <mergeCell ref="A91:K91"/>
    <mergeCell ref="A92:K92"/>
    <mergeCell ref="L92:O92"/>
    <mergeCell ref="Q92:AA92"/>
    <mergeCell ref="AB92:AE92"/>
    <mergeCell ref="A93:K93"/>
    <mergeCell ref="AD93:AE93"/>
    <mergeCell ref="Q96:AA96"/>
    <mergeCell ref="AB96:AC96"/>
    <mergeCell ref="Q95:AA95"/>
    <mergeCell ref="Q97:AA97"/>
    <mergeCell ref="Q98:AA98"/>
    <mergeCell ref="Q99:AA99"/>
    <mergeCell ref="AB97:AC97"/>
    <mergeCell ref="AD97:AE97"/>
    <mergeCell ref="AB98:AC98"/>
    <mergeCell ref="AD98:AE98"/>
    <mergeCell ref="AB99:AC99"/>
    <mergeCell ref="AD99:AE99"/>
    <mergeCell ref="A98:K98"/>
    <mergeCell ref="L98:M98"/>
    <mergeCell ref="N98:O98"/>
    <mergeCell ref="A99:K99"/>
    <mergeCell ref="L99:O99"/>
    <mergeCell ref="A95:K95"/>
    <mergeCell ref="L95:M95"/>
    <mergeCell ref="N95:O95"/>
    <mergeCell ref="AB95:AE95"/>
    <mergeCell ref="A96:K97"/>
    <mergeCell ref="L96:O97"/>
    <mergeCell ref="AD96:AE96"/>
    <mergeCell ref="Q77:AA77"/>
    <mergeCell ref="AB77:AC77"/>
    <mergeCell ref="Q78:AA78"/>
    <mergeCell ref="AB78:AC78"/>
    <mergeCell ref="AD78:AE78"/>
    <mergeCell ref="Q79:AA79"/>
    <mergeCell ref="AB79:AE79"/>
    <mergeCell ref="A76:K76"/>
    <mergeCell ref="L76:M76"/>
    <mergeCell ref="N76:O76"/>
    <mergeCell ref="Q76:AA76"/>
    <mergeCell ref="AB76:AC76"/>
    <mergeCell ref="AD76:AE76"/>
    <mergeCell ref="A77:K77"/>
    <mergeCell ref="AD77:AE77"/>
    <mergeCell ref="A80:K80"/>
    <mergeCell ref="L80:M80"/>
    <mergeCell ref="N80:O80"/>
    <mergeCell ref="Q80:AA80"/>
    <mergeCell ref="AB80:AE80"/>
    <mergeCell ref="L77:M77"/>
    <mergeCell ref="N77:O77"/>
    <mergeCell ref="A78:K78"/>
    <mergeCell ref="L78:O78"/>
    <mergeCell ref="A79:K79"/>
    <mergeCell ref="L79:M79"/>
    <mergeCell ref="N79:O79"/>
    <mergeCell ref="A81:K81"/>
    <mergeCell ref="L81:M81"/>
    <mergeCell ref="N81:O81"/>
    <mergeCell ref="Q81:AA82"/>
    <mergeCell ref="AB81:AC82"/>
    <mergeCell ref="AD81:AE82"/>
    <mergeCell ref="A82:K82"/>
    <mergeCell ref="L82:M82"/>
    <mergeCell ref="N82:O82"/>
    <mergeCell ref="A83:K83"/>
    <mergeCell ref="L83:O83"/>
    <mergeCell ref="Q83:AA84"/>
    <mergeCell ref="AB83:AC84"/>
    <mergeCell ref="AD83:AE84"/>
    <mergeCell ref="N84:O84"/>
    <mergeCell ref="L93:M93"/>
    <mergeCell ref="N93:O93"/>
    <mergeCell ref="A94:K94"/>
    <mergeCell ref="L94:O94"/>
    <mergeCell ref="Q94:AA94"/>
    <mergeCell ref="AB94:AC94"/>
    <mergeCell ref="AD94:AE94"/>
    <mergeCell ref="W10:W12"/>
    <mergeCell ref="Y10:Y12"/>
    <mergeCell ref="AB10:AB12"/>
    <mergeCell ref="AC10:AC12"/>
    <mergeCell ref="AD10:AD12"/>
    <mergeCell ref="AE10:AE12"/>
    <mergeCell ref="A1:AE1"/>
    <mergeCell ref="A2:AE2"/>
    <mergeCell ref="A4:G4"/>
    <mergeCell ref="I4:O4"/>
    <mergeCell ref="Q4:W4"/>
    <mergeCell ref="Y4:AE4"/>
    <mergeCell ref="I10:I12"/>
    <mergeCell ref="A11:G11"/>
    <mergeCell ref="S10:S12"/>
    <mergeCell ref="T10:T12"/>
    <mergeCell ref="Y35:Y37"/>
    <mergeCell ref="Z35:Z37"/>
    <mergeCell ref="AA35:AA37"/>
    <mergeCell ref="AB35:AB37"/>
    <mergeCell ref="AC35:AC37"/>
    <mergeCell ref="AD35:AD37"/>
    <mergeCell ref="AE35:AE37"/>
    <mergeCell ref="Q10:Q12"/>
    <mergeCell ref="R10:R12"/>
    <mergeCell ref="Q24:Q26"/>
    <mergeCell ref="R24:R26"/>
    <mergeCell ref="S24:S26"/>
    <mergeCell ref="T24:T26"/>
    <mergeCell ref="U24:U26"/>
    <mergeCell ref="Q28:W28"/>
    <mergeCell ref="Y28:AE28"/>
    <mergeCell ref="V24:V26"/>
    <mergeCell ref="W24:W26"/>
    <mergeCell ref="A25:O25"/>
    <mergeCell ref="Y25:AE25"/>
    <mergeCell ref="A27:AE27"/>
    <mergeCell ref="A28:G28"/>
    <mergeCell ref="I28:O28"/>
    <mergeCell ref="V47:X47"/>
    <mergeCell ref="Z47:AE47"/>
    <mergeCell ref="A36:W36"/>
    <mergeCell ref="A38:AE38"/>
    <mergeCell ref="A39:G39"/>
    <mergeCell ref="B47:D47"/>
    <mergeCell ref="E47:F47"/>
    <mergeCell ref="I47:L47"/>
    <mergeCell ref="N47:P47"/>
    <mergeCell ref="V48:X48"/>
    <mergeCell ref="Z48:AD48"/>
    <mergeCell ref="Q47:R47"/>
    <mergeCell ref="S47:U47"/>
    <mergeCell ref="B48:D48"/>
    <mergeCell ref="E48:F48"/>
    <mergeCell ref="N48:P48"/>
    <mergeCell ref="Q48:R48"/>
    <mergeCell ref="S48:U48"/>
    <mergeCell ref="B49:D49"/>
    <mergeCell ref="E49:F49"/>
    <mergeCell ref="N49:P49"/>
    <mergeCell ref="Q49:R49"/>
    <mergeCell ref="S49:U49"/>
    <mergeCell ref="V49:X49"/>
    <mergeCell ref="Z49:AD49"/>
    <mergeCell ref="B50:D50"/>
    <mergeCell ref="E50:F50"/>
    <mergeCell ref="N50:P50"/>
    <mergeCell ref="Q50:R50"/>
    <mergeCell ref="S50:U50"/>
    <mergeCell ref="V50:X50"/>
    <mergeCell ref="Z50:AD50"/>
    <mergeCell ref="A69:K69"/>
    <mergeCell ref="L69:O69"/>
    <mergeCell ref="Q69:AA69"/>
    <mergeCell ref="AB69:AC69"/>
    <mergeCell ref="AD69:AE69"/>
    <mergeCell ref="A66:K66"/>
    <mergeCell ref="A67:K67"/>
    <mergeCell ref="L67:M67"/>
    <mergeCell ref="N67:O67"/>
    <mergeCell ref="A68:K68"/>
    <mergeCell ref="L68:M68"/>
    <mergeCell ref="N68:O68"/>
    <mergeCell ref="Q70:AA70"/>
    <mergeCell ref="Q71:AA71"/>
    <mergeCell ref="Q72:AA72"/>
    <mergeCell ref="AB72:AC72"/>
    <mergeCell ref="AD72:AE72"/>
    <mergeCell ref="Q73:AA73"/>
    <mergeCell ref="AB73:AC73"/>
    <mergeCell ref="AD73:AE73"/>
    <mergeCell ref="A70:K70"/>
    <mergeCell ref="L70:M70"/>
    <mergeCell ref="N70:O70"/>
    <mergeCell ref="AB70:AE70"/>
    <mergeCell ref="L71:M71"/>
    <mergeCell ref="N71:O71"/>
    <mergeCell ref="AB71:AE71"/>
    <mergeCell ref="L74:M74"/>
    <mergeCell ref="N74:O74"/>
    <mergeCell ref="Q74:AA74"/>
    <mergeCell ref="AB74:AC74"/>
    <mergeCell ref="AD74:AE74"/>
    <mergeCell ref="A75:K75"/>
    <mergeCell ref="L75:M75"/>
    <mergeCell ref="N75:O75"/>
    <mergeCell ref="Q75:AA75"/>
    <mergeCell ref="AB75:AC75"/>
    <mergeCell ref="AD75:AE75"/>
    <mergeCell ref="A71:K71"/>
    <mergeCell ref="A72:K72"/>
    <mergeCell ref="L72:O72"/>
    <mergeCell ref="A73:K73"/>
    <mergeCell ref="L73:M73"/>
    <mergeCell ref="N73:O73"/>
    <mergeCell ref="A74:K74"/>
  </mergeCells>
  <printOptions/>
  <pageMargins bottom="0.75" footer="0.0" header="0.0" left="0.25" right="0.25" top="0.75"/>
  <pageSetup paperSize="9" orientation="portrait"/>
  <rowBreaks count="2" manualBreakCount="2">
    <brk man="1"/>
    <brk id="63" man="1"/>
  </rowBreaks>
  <colBreaks count="2" manualBreakCount="2">
    <brk man="1"/>
    <brk id="3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71"/>
    <col customWidth="1" min="2" max="2" width="2.14"/>
    <col customWidth="1" min="3" max="3" width="14.86"/>
    <col customWidth="1" min="4" max="4" width="20.29"/>
    <col customWidth="1" min="5" max="5" width="18.86"/>
    <col customWidth="1" min="6" max="6" width="10.29"/>
    <col customWidth="1" min="7" max="7" width="19.86"/>
    <col customWidth="1" min="8" max="8" width="9.14"/>
    <col customWidth="1" min="9" max="9" width="22.57"/>
    <col customWidth="1" min="10" max="10" width="19.29"/>
    <col customWidth="1" min="11" max="11" width="15.29"/>
  </cols>
  <sheetData>
    <row r="1">
      <c r="A1" s="132" t="s">
        <v>266</v>
      </c>
      <c r="B1" s="133" t="s">
        <v>267</v>
      </c>
      <c r="C1" s="133" t="s">
        <v>268</v>
      </c>
      <c r="D1" s="133" t="s">
        <v>269</v>
      </c>
      <c r="E1" s="133" t="s">
        <v>270</v>
      </c>
      <c r="F1" s="133" t="s">
        <v>271</v>
      </c>
      <c r="G1" s="133" t="s">
        <v>272</v>
      </c>
      <c r="H1" s="133" t="s">
        <v>273</v>
      </c>
      <c r="I1" s="133" t="s">
        <v>274</v>
      </c>
      <c r="J1" s="133" t="s">
        <v>275</v>
      </c>
      <c r="K1" s="133" t="s">
        <v>276</v>
      </c>
      <c r="L1" s="133" t="s">
        <v>277</v>
      </c>
    </row>
    <row r="2">
      <c r="A2" s="134">
        <f t="array" ref="A2:A366">SEQUENCE(365,1,DATE(2026,1,1),1)</f>
        <v>46023</v>
      </c>
      <c r="B2" s="133">
        <f t="shared" ref="B2:B366" si="1">WEEKDAY(A2,1)</f>
        <v>5</v>
      </c>
      <c r="C2" s="133" t="str">
        <f t="shared" ref="C2:C366" si="2">TEXT(A2,"dddd")</f>
        <v>quinta-feira</v>
      </c>
      <c r="D2" s="133" t="str">
        <f t="shared" ref="D2:D366" si="3">IFS(B2=7,"nao",B2=1,"nao",B2=2,"sim",B2=3,"sim",B2=4,"sim",B2=5,"sim",B2=6,"sim")</f>
        <v>sim</v>
      </c>
      <c r="E2" s="133" t="str">
        <f t="shared" ref="E2:E366" si="4">IF(OR(A2=DATE(2026,3,28),A2=DATE(2026,4,25),A2=DATE(2026,5,16),A2=DATE(2026,6,6),A2=DATE(2026,6,27),A2=DATE(2026,7,25),A2=DATE(2026,8,29),A2=DATE(2026,9,19),A2=DATE(2026,10,17),A2=DATE(2026,11,28)),"sim","")
</f>
        <v/>
      </c>
      <c r="F2" s="133" t="str">
        <f t="shared" ref="F2:F366" si="5">IF(OR(A2=DATE(2026,1,1),A2=DATE(2026,2,16),A2=DATE(2026,2,17),A2=DATE(2026,2,18),A2=DATE(2026,4,3),A2=DATE(2026,4,21),A2=DATE(2026,5,1),A2=DATE(2026,5,14),A2=DATE(2026,6,4),A2=DATE(2026,7,2),A2=DATE(2026,9,7),A2=DATE(2026,10,12),A2=DATE(2026,10,28),A2=DATE(2026,11,2),A2=DATE(2026,11,15),A2=DATE(2026,11,20),A2=DATE(2026,12,8),A2=DATE(2026,12,24),A2=DATE(2026,12,25)),"sim","")</f>
        <v>sim</v>
      </c>
      <c r="G2" s="133" t="str">
        <f t="shared" ref="G2:G366" si="6">IF(OR(A2=DATE(2026,4,2),A2=DATE(2026,4,20),A2=DATE(2026,6,4),A2=DATE(2026,10,15),A2=DATE(2026,12,24)),"sim","")
</f>
        <v/>
      </c>
      <c r="H2" s="133" t="s">
        <v>278</v>
      </c>
      <c r="I2" s="133" t="str">
        <f t="shared" ref="I2:I366" si="7">IF(OR(A2=DATE(2026,2,11),A2=DATE(2026,2,12),A2=DATE(2026,2,13)),"sim","")
</f>
        <v/>
      </c>
      <c r="J2" s="133" t="str">
        <f t="shared" ref="J2:J366" si="8">IF(OR(A2=DATE(2026,12,17),A2=DATE(2026,12,18),A2=DATE(2026,12,21)),"sim","")
</f>
        <v/>
      </c>
      <c r="K2" s="135" t="str">
        <f t="shared" ref="K2:K50" si="9">IF(AND(D2="sim",E2="sim",F2="",G2="",H2="",I2="",J2=""),"sim","nao")
</f>
        <v>nao</v>
      </c>
      <c r="L2" s="136"/>
    </row>
    <row r="3">
      <c r="A3" s="134">
        <v>46024.0</v>
      </c>
      <c r="B3" s="133">
        <f t="shared" si="1"/>
        <v>6</v>
      </c>
      <c r="C3" s="133" t="str">
        <f t="shared" si="2"/>
        <v>sexta-feira</v>
      </c>
      <c r="D3" s="133" t="str">
        <f t="shared" si="3"/>
        <v>sim</v>
      </c>
      <c r="E3" s="133" t="str">
        <f t="shared" si="4"/>
        <v/>
      </c>
      <c r="F3" s="133" t="str">
        <f t="shared" si="5"/>
        <v/>
      </c>
      <c r="G3" s="133" t="str">
        <f t="shared" si="6"/>
        <v/>
      </c>
      <c r="H3" s="133" t="s">
        <v>278</v>
      </c>
      <c r="I3" s="133" t="str">
        <f t="shared" si="7"/>
        <v/>
      </c>
      <c r="J3" s="133" t="str">
        <f t="shared" si="8"/>
        <v/>
      </c>
      <c r="K3" s="135" t="str">
        <f t="shared" si="9"/>
        <v>nao</v>
      </c>
      <c r="L3" s="136"/>
    </row>
    <row r="4">
      <c r="A4" s="134">
        <v>46025.0</v>
      </c>
      <c r="B4" s="133">
        <f t="shared" si="1"/>
        <v>7</v>
      </c>
      <c r="C4" s="133" t="str">
        <f t="shared" si="2"/>
        <v>sábado</v>
      </c>
      <c r="D4" s="133" t="str">
        <f t="shared" si="3"/>
        <v>nao</v>
      </c>
      <c r="E4" s="133" t="str">
        <f t="shared" si="4"/>
        <v/>
      </c>
      <c r="F4" s="133" t="str">
        <f t="shared" si="5"/>
        <v/>
      </c>
      <c r="G4" s="133" t="str">
        <f t="shared" si="6"/>
        <v/>
      </c>
      <c r="H4" s="133" t="s">
        <v>278</v>
      </c>
      <c r="I4" s="133" t="str">
        <f t="shared" si="7"/>
        <v/>
      </c>
      <c r="J4" s="133" t="str">
        <f t="shared" si="8"/>
        <v/>
      </c>
      <c r="K4" s="135" t="str">
        <f t="shared" si="9"/>
        <v>nao</v>
      </c>
      <c r="L4" s="136"/>
    </row>
    <row r="5">
      <c r="A5" s="134">
        <v>46026.0</v>
      </c>
      <c r="B5" s="133">
        <f t="shared" si="1"/>
        <v>1</v>
      </c>
      <c r="C5" s="133" t="str">
        <f t="shared" si="2"/>
        <v>domingo</v>
      </c>
      <c r="D5" s="133" t="str">
        <f t="shared" si="3"/>
        <v>nao</v>
      </c>
      <c r="E5" s="133" t="str">
        <f t="shared" si="4"/>
        <v/>
      </c>
      <c r="F5" s="133" t="str">
        <f t="shared" si="5"/>
        <v/>
      </c>
      <c r="G5" s="133" t="str">
        <f t="shared" si="6"/>
        <v/>
      </c>
      <c r="H5" s="133" t="s">
        <v>278</v>
      </c>
      <c r="I5" s="133" t="str">
        <f t="shared" si="7"/>
        <v/>
      </c>
      <c r="J5" s="133" t="str">
        <f t="shared" si="8"/>
        <v/>
      </c>
      <c r="K5" s="135" t="str">
        <f t="shared" si="9"/>
        <v>nao</v>
      </c>
      <c r="L5" s="136"/>
    </row>
    <row r="6">
      <c r="A6" s="134">
        <v>46027.0</v>
      </c>
      <c r="B6" s="133">
        <f t="shared" si="1"/>
        <v>2</v>
      </c>
      <c r="C6" s="133" t="str">
        <f t="shared" si="2"/>
        <v>segunda-feira</v>
      </c>
      <c r="D6" s="133" t="str">
        <f t="shared" si="3"/>
        <v>sim</v>
      </c>
      <c r="E6" s="133" t="str">
        <f t="shared" si="4"/>
        <v/>
      </c>
      <c r="F6" s="133" t="str">
        <f t="shared" si="5"/>
        <v/>
      </c>
      <c r="G6" s="133" t="str">
        <f t="shared" si="6"/>
        <v/>
      </c>
      <c r="H6" s="133" t="s">
        <v>278</v>
      </c>
      <c r="I6" s="133" t="str">
        <f t="shared" si="7"/>
        <v/>
      </c>
      <c r="J6" s="133" t="str">
        <f t="shared" si="8"/>
        <v/>
      </c>
      <c r="K6" s="135" t="str">
        <f t="shared" si="9"/>
        <v>nao</v>
      </c>
      <c r="L6" s="136"/>
    </row>
    <row r="7">
      <c r="A7" s="134">
        <v>46028.0</v>
      </c>
      <c r="B7" s="133">
        <f t="shared" si="1"/>
        <v>3</v>
      </c>
      <c r="C7" s="133" t="str">
        <f t="shared" si="2"/>
        <v>terça-feira</v>
      </c>
      <c r="D7" s="133" t="str">
        <f t="shared" si="3"/>
        <v>sim</v>
      </c>
      <c r="E7" s="133" t="str">
        <f t="shared" si="4"/>
        <v/>
      </c>
      <c r="F7" s="133" t="str">
        <f t="shared" si="5"/>
        <v/>
      </c>
      <c r="G7" s="133" t="str">
        <f t="shared" si="6"/>
        <v/>
      </c>
      <c r="H7" s="133" t="s">
        <v>278</v>
      </c>
      <c r="I7" s="133" t="str">
        <f t="shared" si="7"/>
        <v/>
      </c>
      <c r="J7" s="133" t="str">
        <f t="shared" si="8"/>
        <v/>
      </c>
      <c r="K7" s="135" t="str">
        <f t="shared" si="9"/>
        <v>nao</v>
      </c>
      <c r="L7" s="136"/>
    </row>
    <row r="8">
      <c r="A8" s="134">
        <v>46029.0</v>
      </c>
      <c r="B8" s="133">
        <f t="shared" si="1"/>
        <v>4</v>
      </c>
      <c r="C8" s="133" t="str">
        <f t="shared" si="2"/>
        <v>quarta-feira</v>
      </c>
      <c r="D8" s="133" t="str">
        <f t="shared" si="3"/>
        <v>sim</v>
      </c>
      <c r="E8" s="133" t="str">
        <f t="shared" si="4"/>
        <v/>
      </c>
      <c r="F8" s="133" t="str">
        <f t="shared" si="5"/>
        <v/>
      </c>
      <c r="G8" s="133" t="str">
        <f t="shared" si="6"/>
        <v/>
      </c>
      <c r="H8" s="133" t="s">
        <v>278</v>
      </c>
      <c r="I8" s="133" t="str">
        <f t="shared" si="7"/>
        <v/>
      </c>
      <c r="J8" s="133" t="str">
        <f t="shared" si="8"/>
        <v/>
      </c>
      <c r="K8" s="135" t="str">
        <f t="shared" si="9"/>
        <v>nao</v>
      </c>
      <c r="L8" s="136"/>
    </row>
    <row r="9">
      <c r="A9" s="134">
        <v>46030.0</v>
      </c>
      <c r="B9" s="133">
        <f t="shared" si="1"/>
        <v>5</v>
      </c>
      <c r="C9" s="133" t="str">
        <f t="shared" si="2"/>
        <v>quinta-feira</v>
      </c>
      <c r="D9" s="133" t="str">
        <f t="shared" si="3"/>
        <v>sim</v>
      </c>
      <c r="E9" s="133" t="str">
        <f t="shared" si="4"/>
        <v/>
      </c>
      <c r="F9" s="133" t="str">
        <f t="shared" si="5"/>
        <v/>
      </c>
      <c r="G9" s="133" t="str">
        <f t="shared" si="6"/>
        <v/>
      </c>
      <c r="H9" s="133" t="s">
        <v>278</v>
      </c>
      <c r="I9" s="133" t="str">
        <f t="shared" si="7"/>
        <v/>
      </c>
      <c r="J9" s="133" t="str">
        <f t="shared" si="8"/>
        <v/>
      </c>
      <c r="K9" s="135" t="str">
        <f t="shared" si="9"/>
        <v>nao</v>
      </c>
      <c r="L9" s="136"/>
    </row>
    <row r="10">
      <c r="A10" s="134">
        <v>46031.0</v>
      </c>
      <c r="B10" s="133">
        <f t="shared" si="1"/>
        <v>6</v>
      </c>
      <c r="C10" s="133" t="str">
        <f t="shared" si="2"/>
        <v>sexta-feira</v>
      </c>
      <c r="D10" s="133" t="str">
        <f t="shared" si="3"/>
        <v>sim</v>
      </c>
      <c r="E10" s="133" t="str">
        <f t="shared" si="4"/>
        <v/>
      </c>
      <c r="F10" s="133" t="str">
        <f t="shared" si="5"/>
        <v/>
      </c>
      <c r="G10" s="133" t="str">
        <f t="shared" si="6"/>
        <v/>
      </c>
      <c r="H10" s="133" t="s">
        <v>278</v>
      </c>
      <c r="I10" s="133" t="str">
        <f t="shared" si="7"/>
        <v/>
      </c>
      <c r="J10" s="133" t="str">
        <f t="shared" si="8"/>
        <v/>
      </c>
      <c r="K10" s="135" t="str">
        <f t="shared" si="9"/>
        <v>nao</v>
      </c>
      <c r="L10" s="136"/>
    </row>
    <row r="11">
      <c r="A11" s="134">
        <v>46032.0</v>
      </c>
      <c r="B11" s="133">
        <f t="shared" si="1"/>
        <v>7</v>
      </c>
      <c r="C11" s="133" t="str">
        <f t="shared" si="2"/>
        <v>sábado</v>
      </c>
      <c r="D11" s="133" t="str">
        <f t="shared" si="3"/>
        <v>nao</v>
      </c>
      <c r="E11" s="133" t="str">
        <f t="shared" si="4"/>
        <v/>
      </c>
      <c r="F11" s="133" t="str">
        <f t="shared" si="5"/>
        <v/>
      </c>
      <c r="G11" s="133" t="str">
        <f t="shared" si="6"/>
        <v/>
      </c>
      <c r="H11" s="133" t="s">
        <v>278</v>
      </c>
      <c r="I11" s="133" t="str">
        <f t="shared" si="7"/>
        <v/>
      </c>
      <c r="J11" s="133" t="str">
        <f t="shared" si="8"/>
        <v/>
      </c>
      <c r="K11" s="135" t="str">
        <f t="shared" si="9"/>
        <v>nao</v>
      </c>
      <c r="L11" s="136"/>
    </row>
    <row r="12">
      <c r="A12" s="134">
        <v>46033.0</v>
      </c>
      <c r="B12" s="133">
        <f t="shared" si="1"/>
        <v>1</v>
      </c>
      <c r="C12" s="133" t="str">
        <f t="shared" si="2"/>
        <v>domingo</v>
      </c>
      <c r="D12" s="133" t="str">
        <f t="shared" si="3"/>
        <v>nao</v>
      </c>
      <c r="E12" s="133" t="str">
        <f t="shared" si="4"/>
        <v/>
      </c>
      <c r="F12" s="133" t="str">
        <f t="shared" si="5"/>
        <v/>
      </c>
      <c r="G12" s="133" t="str">
        <f t="shared" si="6"/>
        <v/>
      </c>
      <c r="H12" s="133" t="s">
        <v>278</v>
      </c>
      <c r="I12" s="133" t="str">
        <f t="shared" si="7"/>
        <v/>
      </c>
      <c r="J12" s="133" t="str">
        <f t="shared" si="8"/>
        <v/>
      </c>
      <c r="K12" s="135" t="str">
        <f t="shared" si="9"/>
        <v>nao</v>
      </c>
      <c r="L12" s="136"/>
    </row>
    <row r="13">
      <c r="A13" s="134">
        <v>46034.0</v>
      </c>
      <c r="B13" s="133">
        <f t="shared" si="1"/>
        <v>2</v>
      </c>
      <c r="C13" s="133" t="str">
        <f t="shared" si="2"/>
        <v>segunda-feira</v>
      </c>
      <c r="D13" s="133" t="str">
        <f t="shared" si="3"/>
        <v>sim</v>
      </c>
      <c r="E13" s="133" t="str">
        <f t="shared" si="4"/>
        <v/>
      </c>
      <c r="F13" s="133" t="str">
        <f t="shared" si="5"/>
        <v/>
      </c>
      <c r="G13" s="133" t="str">
        <f t="shared" si="6"/>
        <v/>
      </c>
      <c r="H13" s="133" t="s">
        <v>278</v>
      </c>
      <c r="I13" s="133" t="str">
        <f t="shared" si="7"/>
        <v/>
      </c>
      <c r="J13" s="133" t="str">
        <f t="shared" si="8"/>
        <v/>
      </c>
      <c r="K13" s="135" t="str">
        <f t="shared" si="9"/>
        <v>nao</v>
      </c>
      <c r="L13" s="136"/>
    </row>
    <row r="14">
      <c r="A14" s="134">
        <v>46035.0</v>
      </c>
      <c r="B14" s="133">
        <f t="shared" si="1"/>
        <v>3</v>
      </c>
      <c r="C14" s="133" t="str">
        <f t="shared" si="2"/>
        <v>terça-feira</v>
      </c>
      <c r="D14" s="133" t="str">
        <f t="shared" si="3"/>
        <v>sim</v>
      </c>
      <c r="E14" s="133" t="str">
        <f t="shared" si="4"/>
        <v/>
      </c>
      <c r="F14" s="133" t="str">
        <f t="shared" si="5"/>
        <v/>
      </c>
      <c r="G14" s="133" t="str">
        <f t="shared" si="6"/>
        <v/>
      </c>
      <c r="H14" s="133" t="s">
        <v>278</v>
      </c>
      <c r="I14" s="133" t="str">
        <f t="shared" si="7"/>
        <v/>
      </c>
      <c r="J14" s="133" t="str">
        <f t="shared" si="8"/>
        <v/>
      </c>
      <c r="K14" s="135" t="str">
        <f t="shared" si="9"/>
        <v>nao</v>
      </c>
      <c r="L14" s="136"/>
    </row>
    <row r="15">
      <c r="A15" s="134">
        <v>46036.0</v>
      </c>
      <c r="B15" s="133">
        <f t="shared" si="1"/>
        <v>4</v>
      </c>
      <c r="C15" s="133" t="str">
        <f t="shared" si="2"/>
        <v>quarta-feira</v>
      </c>
      <c r="D15" s="133" t="str">
        <f t="shared" si="3"/>
        <v>sim</v>
      </c>
      <c r="E15" s="133" t="str">
        <f t="shared" si="4"/>
        <v/>
      </c>
      <c r="F15" s="133" t="str">
        <f t="shared" si="5"/>
        <v/>
      </c>
      <c r="G15" s="133" t="str">
        <f t="shared" si="6"/>
        <v/>
      </c>
      <c r="H15" s="133" t="s">
        <v>278</v>
      </c>
      <c r="I15" s="133" t="str">
        <f t="shared" si="7"/>
        <v/>
      </c>
      <c r="J15" s="133" t="str">
        <f t="shared" si="8"/>
        <v/>
      </c>
      <c r="K15" s="135" t="str">
        <f t="shared" si="9"/>
        <v>nao</v>
      </c>
      <c r="L15" s="136"/>
    </row>
    <row r="16">
      <c r="A16" s="134">
        <v>46037.0</v>
      </c>
      <c r="B16" s="133">
        <f t="shared" si="1"/>
        <v>5</v>
      </c>
      <c r="C16" s="133" t="str">
        <f t="shared" si="2"/>
        <v>quinta-feira</v>
      </c>
      <c r="D16" s="133" t="str">
        <f t="shared" si="3"/>
        <v>sim</v>
      </c>
      <c r="E16" s="133" t="str">
        <f t="shared" si="4"/>
        <v/>
      </c>
      <c r="F16" s="133" t="str">
        <f t="shared" si="5"/>
        <v/>
      </c>
      <c r="G16" s="133" t="str">
        <f t="shared" si="6"/>
        <v/>
      </c>
      <c r="H16" s="133" t="s">
        <v>278</v>
      </c>
      <c r="I16" s="133" t="str">
        <f t="shared" si="7"/>
        <v/>
      </c>
      <c r="J16" s="133" t="str">
        <f t="shared" si="8"/>
        <v/>
      </c>
      <c r="K16" s="135" t="str">
        <f t="shared" si="9"/>
        <v>nao</v>
      </c>
      <c r="L16" s="136"/>
    </row>
    <row r="17">
      <c r="A17" s="134">
        <v>46038.0</v>
      </c>
      <c r="B17" s="133">
        <f t="shared" si="1"/>
        <v>6</v>
      </c>
      <c r="C17" s="133" t="str">
        <f t="shared" si="2"/>
        <v>sexta-feira</v>
      </c>
      <c r="D17" s="133" t="str">
        <f t="shared" si="3"/>
        <v>sim</v>
      </c>
      <c r="E17" s="133" t="str">
        <f t="shared" si="4"/>
        <v/>
      </c>
      <c r="F17" s="133" t="str">
        <f t="shared" si="5"/>
        <v/>
      </c>
      <c r="G17" s="133" t="str">
        <f t="shared" si="6"/>
        <v/>
      </c>
      <c r="H17" s="133" t="s">
        <v>278</v>
      </c>
      <c r="I17" s="133" t="str">
        <f t="shared" si="7"/>
        <v/>
      </c>
      <c r="J17" s="133" t="str">
        <f t="shared" si="8"/>
        <v/>
      </c>
      <c r="K17" s="135" t="str">
        <f t="shared" si="9"/>
        <v>nao</v>
      </c>
      <c r="L17" s="136"/>
    </row>
    <row r="18">
      <c r="A18" s="134">
        <v>46039.0</v>
      </c>
      <c r="B18" s="133">
        <f t="shared" si="1"/>
        <v>7</v>
      </c>
      <c r="C18" s="133" t="str">
        <f t="shared" si="2"/>
        <v>sábado</v>
      </c>
      <c r="D18" s="133" t="str">
        <f t="shared" si="3"/>
        <v>nao</v>
      </c>
      <c r="E18" s="133" t="str">
        <f t="shared" si="4"/>
        <v/>
      </c>
      <c r="F18" s="133" t="str">
        <f t="shared" si="5"/>
        <v/>
      </c>
      <c r="G18" s="133" t="str">
        <f t="shared" si="6"/>
        <v/>
      </c>
      <c r="H18" s="133" t="s">
        <v>278</v>
      </c>
      <c r="I18" s="133" t="str">
        <f t="shared" si="7"/>
        <v/>
      </c>
      <c r="J18" s="133" t="str">
        <f t="shared" si="8"/>
        <v/>
      </c>
      <c r="K18" s="135" t="str">
        <f t="shared" si="9"/>
        <v>nao</v>
      </c>
      <c r="L18" s="136"/>
    </row>
    <row r="19">
      <c r="A19" s="134">
        <v>46040.0</v>
      </c>
      <c r="B19" s="133">
        <f t="shared" si="1"/>
        <v>1</v>
      </c>
      <c r="C19" s="133" t="str">
        <f t="shared" si="2"/>
        <v>domingo</v>
      </c>
      <c r="D19" s="133" t="str">
        <f t="shared" si="3"/>
        <v>nao</v>
      </c>
      <c r="E19" s="133" t="str">
        <f t="shared" si="4"/>
        <v/>
      </c>
      <c r="F19" s="133" t="str">
        <f t="shared" si="5"/>
        <v/>
      </c>
      <c r="G19" s="133" t="str">
        <f t="shared" si="6"/>
        <v/>
      </c>
      <c r="H19" s="133" t="s">
        <v>278</v>
      </c>
      <c r="I19" s="133" t="str">
        <f t="shared" si="7"/>
        <v/>
      </c>
      <c r="J19" s="133" t="str">
        <f t="shared" si="8"/>
        <v/>
      </c>
      <c r="K19" s="135" t="str">
        <f t="shared" si="9"/>
        <v>nao</v>
      </c>
      <c r="L19" s="136"/>
    </row>
    <row r="20">
      <c r="A20" s="134">
        <v>46041.0</v>
      </c>
      <c r="B20" s="133">
        <f t="shared" si="1"/>
        <v>2</v>
      </c>
      <c r="C20" s="133" t="str">
        <f t="shared" si="2"/>
        <v>segunda-feira</v>
      </c>
      <c r="D20" s="133" t="str">
        <f t="shared" si="3"/>
        <v>sim</v>
      </c>
      <c r="E20" s="133" t="str">
        <f t="shared" si="4"/>
        <v/>
      </c>
      <c r="F20" s="133" t="str">
        <f t="shared" si="5"/>
        <v/>
      </c>
      <c r="G20" s="133" t="str">
        <f t="shared" si="6"/>
        <v/>
      </c>
      <c r="H20" s="133" t="s">
        <v>278</v>
      </c>
      <c r="I20" s="133" t="str">
        <f t="shared" si="7"/>
        <v/>
      </c>
      <c r="J20" s="133" t="str">
        <f t="shared" si="8"/>
        <v/>
      </c>
      <c r="K20" s="135" t="str">
        <f t="shared" si="9"/>
        <v>nao</v>
      </c>
      <c r="L20" s="136"/>
    </row>
    <row r="21">
      <c r="A21" s="134">
        <v>46042.0</v>
      </c>
      <c r="B21" s="133">
        <f t="shared" si="1"/>
        <v>3</v>
      </c>
      <c r="C21" s="133" t="str">
        <f t="shared" si="2"/>
        <v>terça-feira</v>
      </c>
      <c r="D21" s="133" t="str">
        <f t="shared" si="3"/>
        <v>sim</v>
      </c>
      <c r="E21" s="133" t="str">
        <f t="shared" si="4"/>
        <v/>
      </c>
      <c r="F21" s="133" t="str">
        <f t="shared" si="5"/>
        <v/>
      </c>
      <c r="G21" s="133" t="str">
        <f t="shared" si="6"/>
        <v/>
      </c>
      <c r="H21" s="133" t="s">
        <v>278</v>
      </c>
      <c r="I21" s="133" t="str">
        <f t="shared" si="7"/>
        <v/>
      </c>
      <c r="J21" s="133" t="str">
        <f t="shared" si="8"/>
        <v/>
      </c>
      <c r="K21" s="135" t="str">
        <f t="shared" si="9"/>
        <v>nao</v>
      </c>
      <c r="L21" s="136"/>
    </row>
    <row r="22">
      <c r="A22" s="134">
        <v>46043.0</v>
      </c>
      <c r="B22" s="133">
        <f t="shared" si="1"/>
        <v>4</v>
      </c>
      <c r="C22" s="133" t="str">
        <f t="shared" si="2"/>
        <v>quarta-feira</v>
      </c>
      <c r="D22" s="133" t="str">
        <f t="shared" si="3"/>
        <v>sim</v>
      </c>
      <c r="E22" s="133" t="str">
        <f t="shared" si="4"/>
        <v/>
      </c>
      <c r="F22" s="133" t="str">
        <f t="shared" si="5"/>
        <v/>
      </c>
      <c r="G22" s="133" t="str">
        <f t="shared" si="6"/>
        <v/>
      </c>
      <c r="H22" s="133" t="s">
        <v>278</v>
      </c>
      <c r="I22" s="133" t="str">
        <f t="shared" si="7"/>
        <v/>
      </c>
      <c r="J22" s="133" t="str">
        <f t="shared" si="8"/>
        <v/>
      </c>
      <c r="K22" s="135" t="str">
        <f t="shared" si="9"/>
        <v>nao</v>
      </c>
      <c r="L22" s="136"/>
    </row>
    <row r="23">
      <c r="A23" s="134">
        <v>46044.0</v>
      </c>
      <c r="B23" s="133">
        <f t="shared" si="1"/>
        <v>5</v>
      </c>
      <c r="C23" s="133" t="str">
        <f t="shared" si="2"/>
        <v>quinta-feira</v>
      </c>
      <c r="D23" s="133" t="str">
        <f t="shared" si="3"/>
        <v>sim</v>
      </c>
      <c r="E23" s="133" t="str">
        <f t="shared" si="4"/>
        <v/>
      </c>
      <c r="F23" s="133" t="str">
        <f t="shared" si="5"/>
        <v/>
      </c>
      <c r="G23" s="133" t="str">
        <f t="shared" si="6"/>
        <v/>
      </c>
      <c r="H23" s="133" t="s">
        <v>278</v>
      </c>
      <c r="I23" s="133" t="str">
        <f t="shared" si="7"/>
        <v/>
      </c>
      <c r="J23" s="133" t="str">
        <f t="shared" si="8"/>
        <v/>
      </c>
      <c r="K23" s="135" t="str">
        <f t="shared" si="9"/>
        <v>nao</v>
      </c>
      <c r="L23" s="136"/>
    </row>
    <row r="24">
      <c r="A24" s="134">
        <v>46045.0</v>
      </c>
      <c r="B24" s="133">
        <f t="shared" si="1"/>
        <v>6</v>
      </c>
      <c r="C24" s="133" t="str">
        <f t="shared" si="2"/>
        <v>sexta-feira</v>
      </c>
      <c r="D24" s="133" t="str">
        <f t="shared" si="3"/>
        <v>sim</v>
      </c>
      <c r="E24" s="133" t="str">
        <f t="shared" si="4"/>
        <v/>
      </c>
      <c r="F24" s="133" t="str">
        <f t="shared" si="5"/>
        <v/>
      </c>
      <c r="G24" s="133" t="str">
        <f t="shared" si="6"/>
        <v/>
      </c>
      <c r="H24" s="133" t="s">
        <v>278</v>
      </c>
      <c r="I24" s="133" t="str">
        <f t="shared" si="7"/>
        <v/>
      </c>
      <c r="J24" s="133" t="str">
        <f t="shared" si="8"/>
        <v/>
      </c>
      <c r="K24" s="135" t="str">
        <f t="shared" si="9"/>
        <v>nao</v>
      </c>
      <c r="L24" s="136"/>
    </row>
    <row r="25">
      <c r="A25" s="134">
        <v>46046.0</v>
      </c>
      <c r="B25" s="133">
        <f t="shared" si="1"/>
        <v>7</v>
      </c>
      <c r="C25" s="133" t="str">
        <f t="shared" si="2"/>
        <v>sábado</v>
      </c>
      <c r="D25" s="133" t="str">
        <f t="shared" si="3"/>
        <v>nao</v>
      </c>
      <c r="E25" s="133" t="str">
        <f t="shared" si="4"/>
        <v/>
      </c>
      <c r="F25" s="133" t="str">
        <f t="shared" si="5"/>
        <v/>
      </c>
      <c r="G25" s="133" t="str">
        <f t="shared" si="6"/>
        <v/>
      </c>
      <c r="H25" s="133" t="s">
        <v>278</v>
      </c>
      <c r="I25" s="133" t="str">
        <f t="shared" si="7"/>
        <v/>
      </c>
      <c r="J25" s="133" t="str">
        <f t="shared" si="8"/>
        <v/>
      </c>
      <c r="K25" s="135" t="str">
        <f t="shared" si="9"/>
        <v>nao</v>
      </c>
      <c r="L25" s="136"/>
    </row>
    <row r="26">
      <c r="A26" s="134">
        <v>46047.0</v>
      </c>
      <c r="B26" s="133">
        <f t="shared" si="1"/>
        <v>1</v>
      </c>
      <c r="C26" s="133" t="str">
        <f t="shared" si="2"/>
        <v>domingo</v>
      </c>
      <c r="D26" s="133" t="str">
        <f t="shared" si="3"/>
        <v>nao</v>
      </c>
      <c r="E26" s="133" t="str">
        <f t="shared" si="4"/>
        <v/>
      </c>
      <c r="F26" s="133" t="str">
        <f t="shared" si="5"/>
        <v/>
      </c>
      <c r="G26" s="133" t="str">
        <f t="shared" si="6"/>
        <v/>
      </c>
      <c r="H26" s="133" t="s">
        <v>278</v>
      </c>
      <c r="I26" s="133" t="str">
        <f t="shared" si="7"/>
        <v/>
      </c>
      <c r="J26" s="133" t="str">
        <f t="shared" si="8"/>
        <v/>
      </c>
      <c r="K26" s="135" t="str">
        <f t="shared" si="9"/>
        <v>nao</v>
      </c>
      <c r="L26" s="136"/>
    </row>
    <row r="27">
      <c r="A27" s="134">
        <v>46048.0</v>
      </c>
      <c r="B27" s="133">
        <f t="shared" si="1"/>
        <v>2</v>
      </c>
      <c r="C27" s="133" t="str">
        <f t="shared" si="2"/>
        <v>segunda-feira</v>
      </c>
      <c r="D27" s="133" t="str">
        <f t="shared" si="3"/>
        <v>sim</v>
      </c>
      <c r="E27" s="133" t="str">
        <f t="shared" si="4"/>
        <v/>
      </c>
      <c r="F27" s="133" t="str">
        <f t="shared" si="5"/>
        <v/>
      </c>
      <c r="G27" s="133" t="str">
        <f t="shared" si="6"/>
        <v/>
      </c>
      <c r="H27" s="133" t="s">
        <v>278</v>
      </c>
      <c r="I27" s="133" t="str">
        <f t="shared" si="7"/>
        <v/>
      </c>
      <c r="J27" s="133" t="str">
        <f t="shared" si="8"/>
        <v/>
      </c>
      <c r="K27" s="135" t="str">
        <f t="shared" si="9"/>
        <v>nao</v>
      </c>
      <c r="L27" s="136"/>
    </row>
    <row r="28">
      <c r="A28" s="134">
        <v>46049.0</v>
      </c>
      <c r="B28" s="133">
        <f t="shared" si="1"/>
        <v>3</v>
      </c>
      <c r="C28" s="133" t="str">
        <f t="shared" si="2"/>
        <v>terça-feira</v>
      </c>
      <c r="D28" s="133" t="str">
        <f t="shared" si="3"/>
        <v>sim</v>
      </c>
      <c r="E28" s="133" t="str">
        <f t="shared" si="4"/>
        <v/>
      </c>
      <c r="F28" s="133" t="str">
        <f t="shared" si="5"/>
        <v/>
      </c>
      <c r="G28" s="133" t="str">
        <f t="shared" si="6"/>
        <v/>
      </c>
      <c r="H28" s="133" t="s">
        <v>278</v>
      </c>
      <c r="I28" s="133" t="str">
        <f t="shared" si="7"/>
        <v/>
      </c>
      <c r="J28" s="133" t="str">
        <f t="shared" si="8"/>
        <v/>
      </c>
      <c r="K28" s="135" t="str">
        <f t="shared" si="9"/>
        <v>nao</v>
      </c>
      <c r="L28" s="136"/>
    </row>
    <row r="29">
      <c r="A29" s="134">
        <v>46050.0</v>
      </c>
      <c r="B29" s="133">
        <f t="shared" si="1"/>
        <v>4</v>
      </c>
      <c r="C29" s="133" t="str">
        <f t="shared" si="2"/>
        <v>quarta-feira</v>
      </c>
      <c r="D29" s="133" t="str">
        <f t="shared" si="3"/>
        <v>sim</v>
      </c>
      <c r="E29" s="133" t="str">
        <f t="shared" si="4"/>
        <v/>
      </c>
      <c r="F29" s="133" t="str">
        <f t="shared" si="5"/>
        <v/>
      </c>
      <c r="G29" s="133" t="str">
        <f t="shared" si="6"/>
        <v/>
      </c>
      <c r="H29" s="133" t="s">
        <v>278</v>
      </c>
      <c r="I29" s="133" t="str">
        <f t="shared" si="7"/>
        <v/>
      </c>
      <c r="J29" s="133" t="str">
        <f t="shared" si="8"/>
        <v/>
      </c>
      <c r="K29" s="135" t="str">
        <f t="shared" si="9"/>
        <v>nao</v>
      </c>
      <c r="L29" s="136"/>
    </row>
    <row r="30">
      <c r="A30" s="134">
        <v>46051.0</v>
      </c>
      <c r="B30" s="133">
        <f t="shared" si="1"/>
        <v>5</v>
      </c>
      <c r="C30" s="133" t="str">
        <f t="shared" si="2"/>
        <v>quinta-feira</v>
      </c>
      <c r="D30" s="133" t="str">
        <f t="shared" si="3"/>
        <v>sim</v>
      </c>
      <c r="E30" s="133" t="str">
        <f t="shared" si="4"/>
        <v/>
      </c>
      <c r="F30" s="133" t="str">
        <f t="shared" si="5"/>
        <v/>
      </c>
      <c r="G30" s="133" t="str">
        <f t="shared" si="6"/>
        <v/>
      </c>
      <c r="H30" s="133" t="s">
        <v>278</v>
      </c>
      <c r="I30" s="133" t="str">
        <f t="shared" si="7"/>
        <v/>
      </c>
      <c r="J30" s="133" t="str">
        <f t="shared" si="8"/>
        <v/>
      </c>
      <c r="K30" s="135" t="str">
        <f t="shared" si="9"/>
        <v>nao</v>
      </c>
      <c r="L30" s="136"/>
    </row>
    <row r="31">
      <c r="A31" s="134">
        <v>46052.0</v>
      </c>
      <c r="B31" s="133">
        <f t="shared" si="1"/>
        <v>6</v>
      </c>
      <c r="C31" s="133" t="str">
        <f t="shared" si="2"/>
        <v>sexta-feira</v>
      </c>
      <c r="D31" s="133" t="str">
        <f t="shared" si="3"/>
        <v>sim</v>
      </c>
      <c r="E31" s="133" t="str">
        <f t="shared" si="4"/>
        <v/>
      </c>
      <c r="F31" s="133" t="str">
        <f t="shared" si="5"/>
        <v/>
      </c>
      <c r="G31" s="133" t="str">
        <f t="shared" si="6"/>
        <v/>
      </c>
      <c r="H31" s="133" t="s">
        <v>278</v>
      </c>
      <c r="I31" s="133" t="str">
        <f t="shared" si="7"/>
        <v/>
      </c>
      <c r="J31" s="133" t="str">
        <f t="shared" si="8"/>
        <v/>
      </c>
      <c r="K31" s="135" t="str">
        <f t="shared" si="9"/>
        <v>nao</v>
      </c>
      <c r="L31" s="136"/>
    </row>
    <row r="32">
      <c r="A32" s="134">
        <v>46053.0</v>
      </c>
      <c r="B32" s="133">
        <f t="shared" si="1"/>
        <v>7</v>
      </c>
      <c r="C32" s="133" t="str">
        <f t="shared" si="2"/>
        <v>sábado</v>
      </c>
      <c r="D32" s="133" t="str">
        <f t="shared" si="3"/>
        <v>nao</v>
      </c>
      <c r="E32" s="133" t="str">
        <f t="shared" si="4"/>
        <v/>
      </c>
      <c r="F32" s="133" t="str">
        <f t="shared" si="5"/>
        <v/>
      </c>
      <c r="G32" s="133" t="str">
        <f t="shared" si="6"/>
        <v/>
      </c>
      <c r="H32" s="133" t="s">
        <v>278</v>
      </c>
      <c r="I32" s="133" t="str">
        <f t="shared" si="7"/>
        <v/>
      </c>
      <c r="J32" s="133" t="str">
        <f t="shared" si="8"/>
        <v/>
      </c>
      <c r="K32" s="135" t="str">
        <f t="shared" si="9"/>
        <v>nao</v>
      </c>
      <c r="L32" s="136"/>
    </row>
    <row r="33">
      <c r="A33" s="134">
        <v>46054.0</v>
      </c>
      <c r="B33" s="133">
        <f t="shared" si="1"/>
        <v>1</v>
      </c>
      <c r="C33" s="133" t="str">
        <f t="shared" si="2"/>
        <v>domingo</v>
      </c>
      <c r="D33" s="133" t="str">
        <f t="shared" si="3"/>
        <v>nao</v>
      </c>
      <c r="E33" s="133" t="str">
        <f t="shared" si="4"/>
        <v/>
      </c>
      <c r="F33" s="133" t="str">
        <f t="shared" si="5"/>
        <v/>
      </c>
      <c r="G33" s="133" t="str">
        <f t="shared" si="6"/>
        <v/>
      </c>
      <c r="H33" s="133" t="s">
        <v>278</v>
      </c>
      <c r="I33" s="133" t="str">
        <f t="shared" si="7"/>
        <v/>
      </c>
      <c r="J33" s="133" t="str">
        <f t="shared" si="8"/>
        <v/>
      </c>
      <c r="K33" s="135" t="str">
        <f t="shared" si="9"/>
        <v>nao</v>
      </c>
      <c r="L33" s="136"/>
    </row>
    <row r="34">
      <c r="A34" s="134">
        <v>46055.0</v>
      </c>
      <c r="B34" s="133">
        <f t="shared" si="1"/>
        <v>2</v>
      </c>
      <c r="C34" s="133" t="str">
        <f t="shared" si="2"/>
        <v>segunda-feira</v>
      </c>
      <c r="D34" s="133" t="str">
        <f t="shared" si="3"/>
        <v>sim</v>
      </c>
      <c r="E34" s="133" t="str">
        <f t="shared" si="4"/>
        <v/>
      </c>
      <c r="F34" s="133" t="str">
        <f t="shared" si="5"/>
        <v/>
      </c>
      <c r="G34" s="133" t="str">
        <f t="shared" si="6"/>
        <v/>
      </c>
      <c r="H34" s="133" t="s">
        <v>278</v>
      </c>
      <c r="I34" s="133" t="str">
        <f t="shared" si="7"/>
        <v/>
      </c>
      <c r="J34" s="133" t="str">
        <f t="shared" si="8"/>
        <v/>
      </c>
      <c r="K34" s="135" t="str">
        <f t="shared" si="9"/>
        <v>nao</v>
      </c>
      <c r="L34" s="136"/>
    </row>
    <row r="35">
      <c r="A35" s="134">
        <v>46056.0</v>
      </c>
      <c r="B35" s="133">
        <f t="shared" si="1"/>
        <v>3</v>
      </c>
      <c r="C35" s="133" t="str">
        <f t="shared" si="2"/>
        <v>terça-feira</v>
      </c>
      <c r="D35" s="133" t="str">
        <f t="shared" si="3"/>
        <v>sim</v>
      </c>
      <c r="E35" s="133" t="str">
        <f t="shared" si="4"/>
        <v/>
      </c>
      <c r="F35" s="133" t="str">
        <f t="shared" si="5"/>
        <v/>
      </c>
      <c r="G35" s="133" t="str">
        <f t="shared" si="6"/>
        <v/>
      </c>
      <c r="H35" s="133" t="s">
        <v>278</v>
      </c>
      <c r="I35" s="133" t="str">
        <f t="shared" si="7"/>
        <v/>
      </c>
      <c r="J35" s="133" t="str">
        <f t="shared" si="8"/>
        <v/>
      </c>
      <c r="K35" s="135" t="str">
        <f t="shared" si="9"/>
        <v>nao</v>
      </c>
      <c r="L35" s="136"/>
    </row>
    <row r="36">
      <c r="A36" s="134">
        <v>46057.0</v>
      </c>
      <c r="B36" s="133">
        <f t="shared" si="1"/>
        <v>4</v>
      </c>
      <c r="C36" s="133" t="str">
        <f t="shared" si="2"/>
        <v>quarta-feira</v>
      </c>
      <c r="D36" s="133" t="str">
        <f t="shared" si="3"/>
        <v>sim</v>
      </c>
      <c r="E36" s="133" t="str">
        <f t="shared" si="4"/>
        <v/>
      </c>
      <c r="F36" s="133" t="str">
        <f t="shared" si="5"/>
        <v/>
      </c>
      <c r="G36" s="133" t="str">
        <f t="shared" si="6"/>
        <v/>
      </c>
      <c r="H36" s="133" t="s">
        <v>278</v>
      </c>
      <c r="I36" s="133" t="str">
        <f t="shared" si="7"/>
        <v/>
      </c>
      <c r="J36" s="133" t="str">
        <f t="shared" si="8"/>
        <v/>
      </c>
      <c r="K36" s="135" t="str">
        <f t="shared" si="9"/>
        <v>nao</v>
      </c>
      <c r="L36" s="136"/>
    </row>
    <row r="37">
      <c r="A37" s="134">
        <v>46058.0</v>
      </c>
      <c r="B37" s="133">
        <f t="shared" si="1"/>
        <v>5</v>
      </c>
      <c r="C37" s="133" t="str">
        <f t="shared" si="2"/>
        <v>quinta-feira</v>
      </c>
      <c r="D37" s="133" t="str">
        <f t="shared" si="3"/>
        <v>sim</v>
      </c>
      <c r="E37" s="133" t="str">
        <f t="shared" si="4"/>
        <v/>
      </c>
      <c r="F37" s="133" t="str">
        <f t="shared" si="5"/>
        <v/>
      </c>
      <c r="G37" s="133" t="str">
        <f t="shared" si="6"/>
        <v/>
      </c>
      <c r="H37" s="133" t="s">
        <v>278</v>
      </c>
      <c r="I37" s="133" t="str">
        <f t="shared" si="7"/>
        <v/>
      </c>
      <c r="J37" s="133" t="str">
        <f t="shared" si="8"/>
        <v/>
      </c>
      <c r="K37" s="135" t="str">
        <f t="shared" si="9"/>
        <v>nao</v>
      </c>
      <c r="L37" s="136"/>
    </row>
    <row r="38">
      <c r="A38" s="134">
        <v>46059.0</v>
      </c>
      <c r="B38" s="133">
        <f t="shared" si="1"/>
        <v>6</v>
      </c>
      <c r="C38" s="133" t="str">
        <f t="shared" si="2"/>
        <v>sexta-feira</v>
      </c>
      <c r="D38" s="133" t="str">
        <f t="shared" si="3"/>
        <v>sim</v>
      </c>
      <c r="E38" s="133" t="str">
        <f t="shared" si="4"/>
        <v/>
      </c>
      <c r="F38" s="133" t="str">
        <f t="shared" si="5"/>
        <v/>
      </c>
      <c r="G38" s="133" t="str">
        <f t="shared" si="6"/>
        <v/>
      </c>
      <c r="H38" s="133" t="s">
        <v>278</v>
      </c>
      <c r="I38" s="133" t="str">
        <f t="shared" si="7"/>
        <v/>
      </c>
      <c r="J38" s="133" t="str">
        <f t="shared" si="8"/>
        <v/>
      </c>
      <c r="K38" s="135" t="str">
        <f t="shared" si="9"/>
        <v>nao</v>
      </c>
      <c r="L38" s="136"/>
    </row>
    <row r="39">
      <c r="A39" s="134">
        <v>46060.0</v>
      </c>
      <c r="B39" s="133">
        <f t="shared" si="1"/>
        <v>7</v>
      </c>
      <c r="C39" s="133" t="str">
        <f t="shared" si="2"/>
        <v>sábado</v>
      </c>
      <c r="D39" s="133" t="str">
        <f t="shared" si="3"/>
        <v>nao</v>
      </c>
      <c r="E39" s="133" t="str">
        <f t="shared" si="4"/>
        <v/>
      </c>
      <c r="F39" s="133" t="str">
        <f t="shared" si="5"/>
        <v/>
      </c>
      <c r="G39" s="133" t="str">
        <f t="shared" si="6"/>
        <v/>
      </c>
      <c r="H39" s="133" t="s">
        <v>278</v>
      </c>
      <c r="I39" s="133" t="str">
        <f t="shared" si="7"/>
        <v/>
      </c>
      <c r="J39" s="133" t="str">
        <f t="shared" si="8"/>
        <v/>
      </c>
      <c r="K39" s="135" t="str">
        <f t="shared" si="9"/>
        <v>nao</v>
      </c>
      <c r="L39" s="136"/>
    </row>
    <row r="40">
      <c r="A40" s="134">
        <v>46061.0</v>
      </c>
      <c r="B40" s="133">
        <f t="shared" si="1"/>
        <v>1</v>
      </c>
      <c r="C40" s="133" t="str">
        <f t="shared" si="2"/>
        <v>domingo</v>
      </c>
      <c r="D40" s="133" t="str">
        <f t="shared" si="3"/>
        <v>nao</v>
      </c>
      <c r="E40" s="133" t="str">
        <f t="shared" si="4"/>
        <v/>
      </c>
      <c r="F40" s="133" t="str">
        <f t="shared" si="5"/>
        <v/>
      </c>
      <c r="G40" s="133" t="str">
        <f t="shared" si="6"/>
        <v/>
      </c>
      <c r="H40" s="133" t="s">
        <v>278</v>
      </c>
      <c r="I40" s="133" t="str">
        <f t="shared" si="7"/>
        <v/>
      </c>
      <c r="J40" s="133" t="str">
        <f t="shared" si="8"/>
        <v/>
      </c>
      <c r="K40" s="135" t="str">
        <f t="shared" si="9"/>
        <v>nao</v>
      </c>
      <c r="L40" s="136"/>
    </row>
    <row r="41">
      <c r="A41" s="134">
        <v>46062.0</v>
      </c>
      <c r="B41" s="133">
        <f t="shared" si="1"/>
        <v>2</v>
      </c>
      <c r="C41" s="133" t="str">
        <f t="shared" si="2"/>
        <v>segunda-feira</v>
      </c>
      <c r="D41" s="133" t="str">
        <f t="shared" si="3"/>
        <v>sim</v>
      </c>
      <c r="E41" s="133" t="str">
        <f t="shared" si="4"/>
        <v/>
      </c>
      <c r="F41" s="133" t="str">
        <f t="shared" si="5"/>
        <v/>
      </c>
      <c r="G41" s="133" t="str">
        <f t="shared" si="6"/>
        <v/>
      </c>
      <c r="H41" s="133" t="s">
        <v>278</v>
      </c>
      <c r="I41" s="133" t="str">
        <f t="shared" si="7"/>
        <v/>
      </c>
      <c r="J41" s="133" t="str">
        <f t="shared" si="8"/>
        <v/>
      </c>
      <c r="K41" s="135" t="str">
        <f t="shared" si="9"/>
        <v>nao</v>
      </c>
      <c r="L41" s="136"/>
    </row>
    <row r="42">
      <c r="A42" s="134">
        <v>46063.0</v>
      </c>
      <c r="B42" s="133">
        <f t="shared" si="1"/>
        <v>3</v>
      </c>
      <c r="C42" s="133" t="str">
        <f t="shared" si="2"/>
        <v>terça-feira</v>
      </c>
      <c r="D42" s="133" t="str">
        <f t="shared" si="3"/>
        <v>sim</v>
      </c>
      <c r="E42" s="133" t="str">
        <f t="shared" si="4"/>
        <v/>
      </c>
      <c r="F42" s="133" t="str">
        <f t="shared" si="5"/>
        <v/>
      </c>
      <c r="G42" s="133" t="str">
        <f t="shared" si="6"/>
        <v/>
      </c>
      <c r="H42" s="133" t="s">
        <v>278</v>
      </c>
      <c r="I42" s="133" t="str">
        <f t="shared" si="7"/>
        <v/>
      </c>
      <c r="J42" s="133" t="str">
        <f t="shared" si="8"/>
        <v/>
      </c>
      <c r="K42" s="135" t="str">
        <f t="shared" si="9"/>
        <v>nao</v>
      </c>
      <c r="L42" s="136"/>
    </row>
    <row r="43">
      <c r="A43" s="134">
        <v>46064.0</v>
      </c>
      <c r="B43" s="133">
        <f t="shared" si="1"/>
        <v>4</v>
      </c>
      <c r="C43" s="133" t="str">
        <f t="shared" si="2"/>
        <v>quarta-feira</v>
      </c>
      <c r="D43" s="133" t="str">
        <f t="shared" si="3"/>
        <v>sim</v>
      </c>
      <c r="E43" s="133" t="str">
        <f t="shared" si="4"/>
        <v/>
      </c>
      <c r="F43" s="133" t="str">
        <f t="shared" si="5"/>
        <v/>
      </c>
      <c r="G43" s="133" t="str">
        <f t="shared" si="6"/>
        <v/>
      </c>
      <c r="H43" s="133" t="s">
        <v>278</v>
      </c>
      <c r="I43" s="133" t="str">
        <f t="shared" si="7"/>
        <v>sim</v>
      </c>
      <c r="J43" s="133" t="str">
        <f t="shared" si="8"/>
        <v/>
      </c>
      <c r="K43" s="135" t="str">
        <f t="shared" si="9"/>
        <v>nao</v>
      </c>
      <c r="L43" s="136"/>
    </row>
    <row r="44">
      <c r="A44" s="134">
        <v>46065.0</v>
      </c>
      <c r="B44" s="133">
        <f t="shared" si="1"/>
        <v>5</v>
      </c>
      <c r="C44" s="133" t="str">
        <f t="shared" si="2"/>
        <v>quinta-feira</v>
      </c>
      <c r="D44" s="133" t="str">
        <f t="shared" si="3"/>
        <v>sim</v>
      </c>
      <c r="E44" s="133" t="str">
        <f t="shared" si="4"/>
        <v/>
      </c>
      <c r="F44" s="133" t="str">
        <f t="shared" si="5"/>
        <v/>
      </c>
      <c r="G44" s="133" t="str">
        <f t="shared" si="6"/>
        <v/>
      </c>
      <c r="H44" s="133" t="s">
        <v>278</v>
      </c>
      <c r="I44" s="133" t="str">
        <f t="shared" si="7"/>
        <v>sim</v>
      </c>
      <c r="J44" s="133" t="str">
        <f t="shared" si="8"/>
        <v/>
      </c>
      <c r="K44" s="135" t="str">
        <f t="shared" si="9"/>
        <v>nao</v>
      </c>
      <c r="L44" s="136"/>
    </row>
    <row r="45">
      <c r="A45" s="134">
        <v>46066.0</v>
      </c>
      <c r="B45" s="133">
        <f t="shared" si="1"/>
        <v>6</v>
      </c>
      <c r="C45" s="133" t="str">
        <f t="shared" si="2"/>
        <v>sexta-feira</v>
      </c>
      <c r="D45" s="133" t="str">
        <f t="shared" si="3"/>
        <v>sim</v>
      </c>
      <c r="E45" s="133" t="str">
        <f t="shared" si="4"/>
        <v/>
      </c>
      <c r="F45" s="133" t="str">
        <f t="shared" si="5"/>
        <v/>
      </c>
      <c r="G45" s="133" t="str">
        <f t="shared" si="6"/>
        <v/>
      </c>
      <c r="H45" s="133" t="s">
        <v>278</v>
      </c>
      <c r="I45" s="133" t="str">
        <f t="shared" si="7"/>
        <v>sim</v>
      </c>
      <c r="J45" s="133" t="str">
        <f t="shared" si="8"/>
        <v/>
      </c>
      <c r="K45" s="135" t="str">
        <f t="shared" si="9"/>
        <v>nao</v>
      </c>
      <c r="L45" s="136"/>
    </row>
    <row r="46">
      <c r="A46" s="134">
        <v>46067.0</v>
      </c>
      <c r="B46" s="133">
        <f t="shared" si="1"/>
        <v>7</v>
      </c>
      <c r="C46" s="133" t="str">
        <f t="shared" si="2"/>
        <v>sábado</v>
      </c>
      <c r="D46" s="133" t="str">
        <f t="shared" si="3"/>
        <v>nao</v>
      </c>
      <c r="E46" s="133" t="str">
        <f t="shared" si="4"/>
        <v/>
      </c>
      <c r="F46" s="133" t="str">
        <f t="shared" si="5"/>
        <v/>
      </c>
      <c r="G46" s="133" t="str">
        <f t="shared" si="6"/>
        <v/>
      </c>
      <c r="H46" s="133" t="s">
        <v>278</v>
      </c>
      <c r="I46" s="133" t="str">
        <f t="shared" si="7"/>
        <v/>
      </c>
      <c r="J46" s="133" t="str">
        <f t="shared" si="8"/>
        <v/>
      </c>
      <c r="K46" s="135" t="str">
        <f t="shared" si="9"/>
        <v>nao</v>
      </c>
      <c r="L46" s="136"/>
    </row>
    <row r="47">
      <c r="A47" s="134">
        <v>46068.0</v>
      </c>
      <c r="B47" s="133">
        <f t="shared" si="1"/>
        <v>1</v>
      </c>
      <c r="C47" s="133" t="str">
        <f t="shared" si="2"/>
        <v>domingo</v>
      </c>
      <c r="D47" s="133" t="str">
        <f t="shared" si="3"/>
        <v>nao</v>
      </c>
      <c r="E47" s="133" t="str">
        <f t="shared" si="4"/>
        <v/>
      </c>
      <c r="F47" s="133" t="str">
        <f t="shared" si="5"/>
        <v/>
      </c>
      <c r="G47" s="133" t="str">
        <f t="shared" si="6"/>
        <v/>
      </c>
      <c r="H47" s="133" t="s">
        <v>278</v>
      </c>
      <c r="I47" s="133" t="str">
        <f t="shared" si="7"/>
        <v/>
      </c>
      <c r="J47" s="133" t="str">
        <f t="shared" si="8"/>
        <v/>
      </c>
      <c r="K47" s="135" t="str">
        <f t="shared" si="9"/>
        <v>nao</v>
      </c>
      <c r="L47" s="136"/>
    </row>
    <row r="48">
      <c r="A48" s="134">
        <v>46069.0</v>
      </c>
      <c r="B48" s="133">
        <f t="shared" si="1"/>
        <v>2</v>
      </c>
      <c r="C48" s="133" t="str">
        <f t="shared" si="2"/>
        <v>segunda-feira</v>
      </c>
      <c r="D48" s="133" t="str">
        <f t="shared" si="3"/>
        <v>sim</v>
      </c>
      <c r="E48" s="133" t="str">
        <f t="shared" si="4"/>
        <v/>
      </c>
      <c r="F48" s="133" t="str">
        <f t="shared" si="5"/>
        <v>sim</v>
      </c>
      <c r="G48" s="133" t="str">
        <f t="shared" si="6"/>
        <v/>
      </c>
      <c r="H48" s="133" t="s">
        <v>278</v>
      </c>
      <c r="I48" s="133" t="str">
        <f t="shared" si="7"/>
        <v/>
      </c>
      <c r="J48" s="133" t="str">
        <f t="shared" si="8"/>
        <v/>
      </c>
      <c r="K48" s="135" t="str">
        <f t="shared" si="9"/>
        <v>nao</v>
      </c>
      <c r="L48" s="136"/>
    </row>
    <row r="49">
      <c r="A49" s="134">
        <v>46070.0</v>
      </c>
      <c r="B49" s="133">
        <f t="shared" si="1"/>
        <v>3</v>
      </c>
      <c r="C49" s="133" t="str">
        <f t="shared" si="2"/>
        <v>terça-feira</v>
      </c>
      <c r="D49" s="133" t="str">
        <f t="shared" si="3"/>
        <v>sim</v>
      </c>
      <c r="E49" s="133" t="str">
        <f t="shared" si="4"/>
        <v/>
      </c>
      <c r="F49" s="133" t="str">
        <f t="shared" si="5"/>
        <v>sim</v>
      </c>
      <c r="G49" s="133" t="str">
        <f t="shared" si="6"/>
        <v/>
      </c>
      <c r="H49" s="133" t="s">
        <v>278</v>
      </c>
      <c r="I49" s="133" t="str">
        <f t="shared" si="7"/>
        <v/>
      </c>
      <c r="J49" s="133" t="str">
        <f t="shared" si="8"/>
        <v/>
      </c>
      <c r="K49" s="135" t="str">
        <f t="shared" si="9"/>
        <v>nao</v>
      </c>
      <c r="L49" s="136"/>
    </row>
    <row r="50">
      <c r="A50" s="134">
        <v>46071.0</v>
      </c>
      <c r="B50" s="133">
        <f t="shared" si="1"/>
        <v>4</v>
      </c>
      <c r="C50" s="133" t="str">
        <f t="shared" si="2"/>
        <v>quarta-feira</v>
      </c>
      <c r="D50" s="133" t="str">
        <f t="shared" si="3"/>
        <v>sim</v>
      </c>
      <c r="E50" s="133" t="str">
        <f t="shared" si="4"/>
        <v/>
      </c>
      <c r="F50" s="133" t="str">
        <f t="shared" si="5"/>
        <v>sim</v>
      </c>
      <c r="G50" s="133" t="str">
        <f t="shared" si="6"/>
        <v/>
      </c>
      <c r="H50" s="133" t="s">
        <v>278</v>
      </c>
      <c r="I50" s="133" t="str">
        <f t="shared" si="7"/>
        <v/>
      </c>
      <c r="J50" s="133" t="str">
        <f t="shared" si="8"/>
        <v/>
      </c>
      <c r="K50" s="135" t="str">
        <f t="shared" si="9"/>
        <v>nao</v>
      </c>
      <c r="L50" s="136"/>
    </row>
    <row r="51">
      <c r="A51" s="134">
        <v>46072.0</v>
      </c>
      <c r="B51" s="133">
        <f t="shared" si="1"/>
        <v>5</v>
      </c>
      <c r="C51" s="133" t="str">
        <f t="shared" si="2"/>
        <v>quinta-feira</v>
      </c>
      <c r="D51" s="133" t="str">
        <f t="shared" si="3"/>
        <v>sim</v>
      </c>
      <c r="E51" s="133" t="str">
        <f t="shared" si="4"/>
        <v/>
      </c>
      <c r="F51" s="133" t="str">
        <f t="shared" si="5"/>
        <v/>
      </c>
      <c r="G51" s="133" t="str">
        <f t="shared" si="6"/>
        <v/>
      </c>
      <c r="H51" s="133" t="str">
        <f t="shared" ref="H51:H356" si="10">IF(OR(A51=DATE(2026,6,22),A51=DATE(2026,6,23),A51=DATE(2026,6,24),A51=DATE(2026,6,25),A51=DATE(2026,6,26),A51=DATE(2026,6,27),A51=DATE(2026,6,28),A51=DATE(2026,6,29),A51=DATE(2026,6,30),A51=DATE(2026,7,1),A51=DATE(2026,7,2),A51=DATE(2026,7,3)),"sim","")
</f>
        <v/>
      </c>
      <c r="I51" s="133" t="str">
        <f t="shared" si="7"/>
        <v/>
      </c>
      <c r="J51" s="133" t="str">
        <f t="shared" si="8"/>
        <v/>
      </c>
      <c r="K51" s="137" t="s">
        <v>278</v>
      </c>
      <c r="L51" s="136"/>
    </row>
    <row r="52">
      <c r="A52" s="134">
        <v>46073.0</v>
      </c>
      <c r="B52" s="133">
        <f t="shared" si="1"/>
        <v>6</v>
      </c>
      <c r="C52" s="133" t="str">
        <f t="shared" si="2"/>
        <v>sexta-feira</v>
      </c>
      <c r="D52" s="133" t="str">
        <f t="shared" si="3"/>
        <v>sim</v>
      </c>
      <c r="E52" s="133" t="str">
        <f t="shared" si="4"/>
        <v/>
      </c>
      <c r="F52" s="133" t="str">
        <f t="shared" si="5"/>
        <v/>
      </c>
      <c r="G52" s="133" t="str">
        <f t="shared" si="6"/>
        <v/>
      </c>
      <c r="H52" s="133" t="str">
        <f t="shared" si="10"/>
        <v/>
      </c>
      <c r="I52" s="133" t="str">
        <f t="shared" si="7"/>
        <v/>
      </c>
      <c r="J52" s="133" t="str">
        <f t="shared" si="8"/>
        <v/>
      </c>
      <c r="K52" s="137" t="s">
        <v>278</v>
      </c>
      <c r="L52" s="136"/>
    </row>
    <row r="53">
      <c r="A53" s="134">
        <v>46074.0</v>
      </c>
      <c r="B53" s="133">
        <f t="shared" si="1"/>
        <v>7</v>
      </c>
      <c r="C53" s="133" t="str">
        <f t="shared" si="2"/>
        <v>sábado</v>
      </c>
      <c r="D53" s="133" t="str">
        <f t="shared" si="3"/>
        <v>nao</v>
      </c>
      <c r="E53" s="133" t="str">
        <f t="shared" si="4"/>
        <v/>
      </c>
      <c r="F53" s="133" t="str">
        <f t="shared" si="5"/>
        <v/>
      </c>
      <c r="G53" s="133" t="str">
        <f t="shared" si="6"/>
        <v/>
      </c>
      <c r="H53" s="133" t="str">
        <f t="shared" si="10"/>
        <v/>
      </c>
      <c r="I53" s="133" t="str">
        <f t="shared" si="7"/>
        <v/>
      </c>
      <c r="J53" s="133" t="str">
        <f t="shared" si="8"/>
        <v/>
      </c>
      <c r="K53" s="135" t="str">
        <f t="shared" ref="K53:K54" si="11">IF(AND(D53="sim",E53="sim",F53="",G53="",H53="",I53="",J53=""),"sim","nao")
</f>
        <v>nao</v>
      </c>
      <c r="L53" s="136"/>
    </row>
    <row r="54">
      <c r="A54" s="134">
        <v>46075.0</v>
      </c>
      <c r="B54" s="133">
        <f t="shared" si="1"/>
        <v>1</v>
      </c>
      <c r="C54" s="133" t="str">
        <f t="shared" si="2"/>
        <v>domingo</v>
      </c>
      <c r="D54" s="133" t="str">
        <f t="shared" si="3"/>
        <v>nao</v>
      </c>
      <c r="E54" s="133" t="str">
        <f t="shared" si="4"/>
        <v/>
      </c>
      <c r="F54" s="133" t="str">
        <f t="shared" si="5"/>
        <v/>
      </c>
      <c r="G54" s="133" t="str">
        <f t="shared" si="6"/>
        <v/>
      </c>
      <c r="H54" s="133" t="str">
        <f t="shared" si="10"/>
        <v/>
      </c>
      <c r="I54" s="133" t="str">
        <f t="shared" si="7"/>
        <v/>
      </c>
      <c r="J54" s="133" t="str">
        <f t="shared" si="8"/>
        <v/>
      </c>
      <c r="K54" s="135" t="str">
        <f t="shared" si="11"/>
        <v>nao</v>
      </c>
      <c r="L54" s="136"/>
    </row>
    <row r="55">
      <c r="A55" s="134">
        <v>46076.0</v>
      </c>
      <c r="B55" s="133">
        <f t="shared" si="1"/>
        <v>2</v>
      </c>
      <c r="C55" s="133" t="str">
        <f t="shared" si="2"/>
        <v>segunda-feira</v>
      </c>
      <c r="D55" s="133" t="str">
        <f t="shared" si="3"/>
        <v>sim</v>
      </c>
      <c r="E55" s="133" t="str">
        <f t="shared" si="4"/>
        <v/>
      </c>
      <c r="F55" s="133" t="str">
        <f t="shared" si="5"/>
        <v/>
      </c>
      <c r="G55" s="133" t="str">
        <f t="shared" si="6"/>
        <v/>
      </c>
      <c r="H55" s="133" t="str">
        <f t="shared" si="10"/>
        <v/>
      </c>
      <c r="I55" s="133" t="str">
        <f t="shared" si="7"/>
        <v/>
      </c>
      <c r="J55" s="133" t="str">
        <f t="shared" si="8"/>
        <v/>
      </c>
      <c r="K55" s="137" t="s">
        <v>278</v>
      </c>
      <c r="L55" s="136"/>
    </row>
    <row r="56">
      <c r="A56" s="134">
        <v>46077.0</v>
      </c>
      <c r="B56" s="133">
        <f t="shared" si="1"/>
        <v>3</v>
      </c>
      <c r="C56" s="133" t="str">
        <f t="shared" si="2"/>
        <v>terça-feira</v>
      </c>
      <c r="D56" s="133" t="str">
        <f t="shared" si="3"/>
        <v>sim</v>
      </c>
      <c r="E56" s="133" t="str">
        <f t="shared" si="4"/>
        <v/>
      </c>
      <c r="F56" s="133" t="str">
        <f t="shared" si="5"/>
        <v/>
      </c>
      <c r="G56" s="133" t="str">
        <f t="shared" si="6"/>
        <v/>
      </c>
      <c r="H56" s="133" t="str">
        <f t="shared" si="10"/>
        <v/>
      </c>
      <c r="I56" s="133" t="str">
        <f t="shared" si="7"/>
        <v/>
      </c>
      <c r="J56" s="133" t="str">
        <f t="shared" si="8"/>
        <v/>
      </c>
      <c r="K56" s="137" t="s">
        <v>278</v>
      </c>
      <c r="L56" s="136"/>
    </row>
    <row r="57">
      <c r="A57" s="134">
        <v>46078.0</v>
      </c>
      <c r="B57" s="133">
        <f t="shared" si="1"/>
        <v>4</v>
      </c>
      <c r="C57" s="133" t="str">
        <f t="shared" si="2"/>
        <v>quarta-feira</v>
      </c>
      <c r="D57" s="133" t="str">
        <f t="shared" si="3"/>
        <v>sim</v>
      </c>
      <c r="E57" s="133" t="str">
        <f t="shared" si="4"/>
        <v/>
      </c>
      <c r="F57" s="133" t="str">
        <f t="shared" si="5"/>
        <v/>
      </c>
      <c r="G57" s="133" t="str">
        <f t="shared" si="6"/>
        <v/>
      </c>
      <c r="H57" s="133" t="str">
        <f t="shared" si="10"/>
        <v/>
      </c>
      <c r="I57" s="133" t="str">
        <f t="shared" si="7"/>
        <v/>
      </c>
      <c r="J57" s="133" t="str">
        <f t="shared" si="8"/>
        <v/>
      </c>
      <c r="K57" s="137" t="s">
        <v>278</v>
      </c>
      <c r="L57" s="136"/>
    </row>
    <row r="58">
      <c r="A58" s="134">
        <v>46079.0</v>
      </c>
      <c r="B58" s="133">
        <f t="shared" si="1"/>
        <v>5</v>
      </c>
      <c r="C58" s="133" t="str">
        <f t="shared" si="2"/>
        <v>quinta-feira</v>
      </c>
      <c r="D58" s="133" t="str">
        <f t="shared" si="3"/>
        <v>sim</v>
      </c>
      <c r="E58" s="133" t="str">
        <f t="shared" si="4"/>
        <v/>
      </c>
      <c r="F58" s="133" t="str">
        <f t="shared" si="5"/>
        <v/>
      </c>
      <c r="G58" s="133" t="str">
        <f t="shared" si="6"/>
        <v/>
      </c>
      <c r="H58" s="133" t="str">
        <f t="shared" si="10"/>
        <v/>
      </c>
      <c r="I58" s="133" t="str">
        <f t="shared" si="7"/>
        <v/>
      </c>
      <c r="J58" s="133" t="str">
        <f t="shared" si="8"/>
        <v/>
      </c>
      <c r="K58" s="137" t="s">
        <v>278</v>
      </c>
      <c r="L58" s="136"/>
    </row>
    <row r="59">
      <c r="A59" s="134">
        <v>46080.0</v>
      </c>
      <c r="B59" s="133">
        <f t="shared" si="1"/>
        <v>6</v>
      </c>
      <c r="C59" s="133" t="str">
        <f t="shared" si="2"/>
        <v>sexta-feira</v>
      </c>
      <c r="D59" s="133" t="str">
        <f t="shared" si="3"/>
        <v>sim</v>
      </c>
      <c r="E59" s="133" t="str">
        <f t="shared" si="4"/>
        <v/>
      </c>
      <c r="F59" s="133" t="str">
        <f t="shared" si="5"/>
        <v/>
      </c>
      <c r="G59" s="133" t="str">
        <f t="shared" si="6"/>
        <v/>
      </c>
      <c r="H59" s="133" t="str">
        <f t="shared" si="10"/>
        <v/>
      </c>
      <c r="I59" s="133" t="str">
        <f t="shared" si="7"/>
        <v/>
      </c>
      <c r="J59" s="133" t="str">
        <f t="shared" si="8"/>
        <v/>
      </c>
      <c r="K59" s="137" t="s">
        <v>278</v>
      </c>
      <c r="L59" s="136"/>
    </row>
    <row r="60">
      <c r="A60" s="134">
        <v>46081.0</v>
      </c>
      <c r="B60" s="133">
        <f t="shared" si="1"/>
        <v>7</v>
      </c>
      <c r="C60" s="133" t="str">
        <f t="shared" si="2"/>
        <v>sábado</v>
      </c>
      <c r="D60" s="133" t="str">
        <f t="shared" si="3"/>
        <v>nao</v>
      </c>
      <c r="E60" s="133" t="str">
        <f t="shared" si="4"/>
        <v/>
      </c>
      <c r="F60" s="133" t="str">
        <f t="shared" si="5"/>
        <v/>
      </c>
      <c r="G60" s="133" t="str">
        <f t="shared" si="6"/>
        <v/>
      </c>
      <c r="H60" s="133" t="str">
        <f t="shared" si="10"/>
        <v/>
      </c>
      <c r="I60" s="133" t="str">
        <f t="shared" si="7"/>
        <v/>
      </c>
      <c r="J60" s="133" t="str">
        <f t="shared" si="8"/>
        <v/>
      </c>
      <c r="K60" s="135" t="str">
        <f t="shared" ref="K60:K61" si="12">IF(AND(D60="sim",E60="sim",F60="",G60="",H60="",I60="",J60=""),"sim","nao")
</f>
        <v>nao</v>
      </c>
      <c r="L60" s="136"/>
    </row>
    <row r="61">
      <c r="A61" s="134">
        <v>46082.0</v>
      </c>
      <c r="B61" s="133">
        <f t="shared" si="1"/>
        <v>1</v>
      </c>
      <c r="C61" s="133" t="str">
        <f t="shared" si="2"/>
        <v>domingo</v>
      </c>
      <c r="D61" s="133" t="str">
        <f t="shared" si="3"/>
        <v>nao</v>
      </c>
      <c r="E61" s="133" t="str">
        <f t="shared" si="4"/>
        <v/>
      </c>
      <c r="F61" s="133" t="str">
        <f t="shared" si="5"/>
        <v/>
      </c>
      <c r="G61" s="133" t="str">
        <f t="shared" si="6"/>
        <v/>
      </c>
      <c r="H61" s="133" t="str">
        <f t="shared" si="10"/>
        <v/>
      </c>
      <c r="I61" s="133" t="str">
        <f t="shared" si="7"/>
        <v/>
      </c>
      <c r="J61" s="133" t="str">
        <f t="shared" si="8"/>
        <v/>
      </c>
      <c r="K61" s="135" t="str">
        <f t="shared" si="12"/>
        <v>nao</v>
      </c>
      <c r="L61" s="136"/>
    </row>
    <row r="62">
      <c r="A62" s="134">
        <v>46083.0</v>
      </c>
      <c r="B62" s="133">
        <f t="shared" si="1"/>
        <v>2</v>
      </c>
      <c r="C62" s="133" t="str">
        <f t="shared" si="2"/>
        <v>segunda-feira</v>
      </c>
      <c r="D62" s="133" t="str">
        <f t="shared" si="3"/>
        <v>sim</v>
      </c>
      <c r="E62" s="133" t="str">
        <f t="shared" si="4"/>
        <v/>
      </c>
      <c r="F62" s="133" t="str">
        <f t="shared" si="5"/>
        <v/>
      </c>
      <c r="G62" s="133" t="str">
        <f t="shared" si="6"/>
        <v/>
      </c>
      <c r="H62" s="133" t="str">
        <f t="shared" si="10"/>
        <v/>
      </c>
      <c r="I62" s="133" t="str">
        <f t="shared" si="7"/>
        <v/>
      </c>
      <c r="J62" s="133" t="str">
        <f t="shared" si="8"/>
        <v/>
      </c>
      <c r="K62" s="137" t="s">
        <v>278</v>
      </c>
      <c r="L62" s="136"/>
    </row>
    <row r="63">
      <c r="A63" s="134">
        <v>46084.0</v>
      </c>
      <c r="B63" s="133">
        <f t="shared" si="1"/>
        <v>3</v>
      </c>
      <c r="C63" s="133" t="str">
        <f t="shared" si="2"/>
        <v>terça-feira</v>
      </c>
      <c r="D63" s="133" t="str">
        <f t="shared" si="3"/>
        <v>sim</v>
      </c>
      <c r="E63" s="133" t="str">
        <f t="shared" si="4"/>
        <v/>
      </c>
      <c r="F63" s="133" t="str">
        <f t="shared" si="5"/>
        <v/>
      </c>
      <c r="G63" s="133" t="str">
        <f t="shared" si="6"/>
        <v/>
      </c>
      <c r="H63" s="133" t="str">
        <f t="shared" si="10"/>
        <v/>
      </c>
      <c r="I63" s="133" t="str">
        <f t="shared" si="7"/>
        <v/>
      </c>
      <c r="J63" s="133" t="str">
        <f t="shared" si="8"/>
        <v/>
      </c>
      <c r="K63" s="137" t="s">
        <v>278</v>
      </c>
      <c r="L63" s="136"/>
    </row>
    <row r="64">
      <c r="A64" s="134">
        <v>46085.0</v>
      </c>
      <c r="B64" s="133">
        <f t="shared" si="1"/>
        <v>4</v>
      </c>
      <c r="C64" s="133" t="str">
        <f t="shared" si="2"/>
        <v>quarta-feira</v>
      </c>
      <c r="D64" s="133" t="str">
        <f t="shared" si="3"/>
        <v>sim</v>
      </c>
      <c r="E64" s="133" t="str">
        <f t="shared" si="4"/>
        <v/>
      </c>
      <c r="F64" s="133" t="str">
        <f t="shared" si="5"/>
        <v/>
      </c>
      <c r="G64" s="133" t="str">
        <f t="shared" si="6"/>
        <v/>
      </c>
      <c r="H64" s="133" t="str">
        <f t="shared" si="10"/>
        <v/>
      </c>
      <c r="I64" s="133" t="str">
        <f t="shared" si="7"/>
        <v/>
      </c>
      <c r="J64" s="133" t="str">
        <f t="shared" si="8"/>
        <v/>
      </c>
      <c r="K64" s="137" t="s">
        <v>278</v>
      </c>
      <c r="L64" s="136"/>
    </row>
    <row r="65">
      <c r="A65" s="134">
        <v>46086.0</v>
      </c>
      <c r="B65" s="133">
        <f t="shared" si="1"/>
        <v>5</v>
      </c>
      <c r="C65" s="133" t="str">
        <f t="shared" si="2"/>
        <v>quinta-feira</v>
      </c>
      <c r="D65" s="133" t="str">
        <f t="shared" si="3"/>
        <v>sim</v>
      </c>
      <c r="E65" s="133" t="str">
        <f t="shared" si="4"/>
        <v/>
      </c>
      <c r="F65" s="133" t="str">
        <f t="shared" si="5"/>
        <v/>
      </c>
      <c r="G65" s="133" t="str">
        <f t="shared" si="6"/>
        <v/>
      </c>
      <c r="H65" s="133" t="str">
        <f t="shared" si="10"/>
        <v/>
      </c>
      <c r="I65" s="133" t="str">
        <f t="shared" si="7"/>
        <v/>
      </c>
      <c r="J65" s="133" t="str">
        <f t="shared" si="8"/>
        <v/>
      </c>
      <c r="K65" s="137" t="s">
        <v>278</v>
      </c>
      <c r="L65" s="136"/>
    </row>
    <row r="66">
      <c r="A66" s="134">
        <v>46087.0</v>
      </c>
      <c r="B66" s="133">
        <f t="shared" si="1"/>
        <v>6</v>
      </c>
      <c r="C66" s="133" t="str">
        <f t="shared" si="2"/>
        <v>sexta-feira</v>
      </c>
      <c r="D66" s="133" t="str">
        <f t="shared" si="3"/>
        <v>sim</v>
      </c>
      <c r="E66" s="133" t="str">
        <f t="shared" si="4"/>
        <v/>
      </c>
      <c r="F66" s="133" t="str">
        <f t="shared" si="5"/>
        <v/>
      </c>
      <c r="G66" s="133" t="str">
        <f t="shared" si="6"/>
        <v/>
      </c>
      <c r="H66" s="133" t="str">
        <f t="shared" si="10"/>
        <v/>
      </c>
      <c r="I66" s="133" t="str">
        <f t="shared" si="7"/>
        <v/>
      </c>
      <c r="J66" s="133" t="str">
        <f t="shared" si="8"/>
        <v/>
      </c>
      <c r="K66" s="137" t="s">
        <v>278</v>
      </c>
      <c r="L66" s="136"/>
    </row>
    <row r="67">
      <c r="A67" s="134">
        <v>46088.0</v>
      </c>
      <c r="B67" s="133">
        <f t="shared" si="1"/>
        <v>7</v>
      </c>
      <c r="C67" s="133" t="str">
        <f t="shared" si="2"/>
        <v>sábado</v>
      </c>
      <c r="D67" s="133" t="str">
        <f t="shared" si="3"/>
        <v>nao</v>
      </c>
      <c r="E67" s="133" t="str">
        <f t="shared" si="4"/>
        <v/>
      </c>
      <c r="F67" s="133" t="str">
        <f t="shared" si="5"/>
        <v/>
      </c>
      <c r="G67" s="133" t="str">
        <f t="shared" si="6"/>
        <v/>
      </c>
      <c r="H67" s="133" t="str">
        <f t="shared" si="10"/>
        <v/>
      </c>
      <c r="I67" s="133" t="str">
        <f t="shared" si="7"/>
        <v/>
      </c>
      <c r="J67" s="133" t="str">
        <f t="shared" si="8"/>
        <v/>
      </c>
      <c r="K67" s="135" t="str">
        <f t="shared" ref="K67:K68" si="13">IF(AND(D67="sim",E67="sim",F67="",G67="",H67="",I67="",J67=""),"sim","nao")
</f>
        <v>nao</v>
      </c>
      <c r="L67" s="136"/>
    </row>
    <row r="68">
      <c r="A68" s="134">
        <v>46089.0</v>
      </c>
      <c r="B68" s="133">
        <f t="shared" si="1"/>
        <v>1</v>
      </c>
      <c r="C68" s="133" t="str">
        <f t="shared" si="2"/>
        <v>domingo</v>
      </c>
      <c r="D68" s="133" t="str">
        <f t="shared" si="3"/>
        <v>nao</v>
      </c>
      <c r="E68" s="133" t="str">
        <f t="shared" si="4"/>
        <v/>
      </c>
      <c r="F68" s="133" t="str">
        <f t="shared" si="5"/>
        <v/>
      </c>
      <c r="G68" s="133" t="str">
        <f t="shared" si="6"/>
        <v/>
      </c>
      <c r="H68" s="133" t="str">
        <f t="shared" si="10"/>
        <v/>
      </c>
      <c r="I68" s="133" t="str">
        <f t="shared" si="7"/>
        <v/>
      </c>
      <c r="J68" s="133" t="str">
        <f t="shared" si="8"/>
        <v/>
      </c>
      <c r="K68" s="135" t="str">
        <f t="shared" si="13"/>
        <v>nao</v>
      </c>
      <c r="L68" s="136"/>
    </row>
    <row r="69">
      <c r="A69" s="134">
        <v>46090.0</v>
      </c>
      <c r="B69" s="133">
        <f t="shared" si="1"/>
        <v>2</v>
      </c>
      <c r="C69" s="133" t="str">
        <f t="shared" si="2"/>
        <v>segunda-feira</v>
      </c>
      <c r="D69" s="133" t="str">
        <f t="shared" si="3"/>
        <v>sim</v>
      </c>
      <c r="E69" s="133" t="str">
        <f t="shared" si="4"/>
        <v/>
      </c>
      <c r="F69" s="133" t="str">
        <f t="shared" si="5"/>
        <v/>
      </c>
      <c r="G69" s="133" t="str">
        <f t="shared" si="6"/>
        <v/>
      </c>
      <c r="H69" s="133" t="str">
        <f t="shared" si="10"/>
        <v/>
      </c>
      <c r="I69" s="133" t="str">
        <f t="shared" si="7"/>
        <v/>
      </c>
      <c r="J69" s="133" t="str">
        <f t="shared" si="8"/>
        <v/>
      </c>
      <c r="K69" s="137" t="s">
        <v>278</v>
      </c>
      <c r="L69" s="136"/>
    </row>
    <row r="70">
      <c r="A70" s="134">
        <v>46091.0</v>
      </c>
      <c r="B70" s="133">
        <f t="shared" si="1"/>
        <v>3</v>
      </c>
      <c r="C70" s="133" t="str">
        <f t="shared" si="2"/>
        <v>terça-feira</v>
      </c>
      <c r="D70" s="133" t="str">
        <f t="shared" si="3"/>
        <v>sim</v>
      </c>
      <c r="E70" s="133" t="str">
        <f t="shared" si="4"/>
        <v/>
      </c>
      <c r="F70" s="133" t="str">
        <f t="shared" si="5"/>
        <v/>
      </c>
      <c r="G70" s="133" t="str">
        <f t="shared" si="6"/>
        <v/>
      </c>
      <c r="H70" s="133" t="str">
        <f t="shared" si="10"/>
        <v/>
      </c>
      <c r="I70" s="133" t="str">
        <f t="shared" si="7"/>
        <v/>
      </c>
      <c r="J70" s="133" t="str">
        <f t="shared" si="8"/>
        <v/>
      </c>
      <c r="K70" s="137" t="s">
        <v>278</v>
      </c>
      <c r="L70" s="136"/>
    </row>
    <row r="71">
      <c r="A71" s="134">
        <v>46092.0</v>
      </c>
      <c r="B71" s="133">
        <f t="shared" si="1"/>
        <v>4</v>
      </c>
      <c r="C71" s="133" t="str">
        <f t="shared" si="2"/>
        <v>quarta-feira</v>
      </c>
      <c r="D71" s="133" t="str">
        <f t="shared" si="3"/>
        <v>sim</v>
      </c>
      <c r="E71" s="133" t="str">
        <f t="shared" si="4"/>
        <v/>
      </c>
      <c r="F71" s="133" t="str">
        <f t="shared" si="5"/>
        <v/>
      </c>
      <c r="G71" s="133" t="str">
        <f t="shared" si="6"/>
        <v/>
      </c>
      <c r="H71" s="133" t="str">
        <f t="shared" si="10"/>
        <v/>
      </c>
      <c r="I71" s="133" t="str">
        <f t="shared" si="7"/>
        <v/>
      </c>
      <c r="J71" s="133" t="str">
        <f t="shared" si="8"/>
        <v/>
      </c>
      <c r="K71" s="137" t="s">
        <v>278</v>
      </c>
      <c r="L71" s="136"/>
    </row>
    <row r="72">
      <c r="A72" s="134">
        <v>46093.0</v>
      </c>
      <c r="B72" s="133">
        <f t="shared" si="1"/>
        <v>5</v>
      </c>
      <c r="C72" s="133" t="str">
        <f t="shared" si="2"/>
        <v>quinta-feira</v>
      </c>
      <c r="D72" s="133" t="str">
        <f t="shared" si="3"/>
        <v>sim</v>
      </c>
      <c r="E72" s="133" t="str">
        <f t="shared" si="4"/>
        <v/>
      </c>
      <c r="F72" s="133" t="str">
        <f t="shared" si="5"/>
        <v/>
      </c>
      <c r="G72" s="133" t="str">
        <f t="shared" si="6"/>
        <v/>
      </c>
      <c r="H72" s="133" t="str">
        <f t="shared" si="10"/>
        <v/>
      </c>
      <c r="I72" s="133" t="str">
        <f t="shared" si="7"/>
        <v/>
      </c>
      <c r="J72" s="133" t="str">
        <f t="shared" si="8"/>
        <v/>
      </c>
      <c r="K72" s="137" t="s">
        <v>278</v>
      </c>
      <c r="L72" s="136"/>
    </row>
    <row r="73">
      <c r="A73" s="134">
        <v>46094.0</v>
      </c>
      <c r="B73" s="133">
        <f t="shared" si="1"/>
        <v>6</v>
      </c>
      <c r="C73" s="133" t="str">
        <f t="shared" si="2"/>
        <v>sexta-feira</v>
      </c>
      <c r="D73" s="133" t="str">
        <f t="shared" si="3"/>
        <v>sim</v>
      </c>
      <c r="E73" s="133" t="str">
        <f t="shared" si="4"/>
        <v/>
      </c>
      <c r="F73" s="133" t="str">
        <f t="shared" si="5"/>
        <v/>
      </c>
      <c r="G73" s="133" t="str">
        <f t="shared" si="6"/>
        <v/>
      </c>
      <c r="H73" s="133" t="str">
        <f t="shared" si="10"/>
        <v/>
      </c>
      <c r="I73" s="133" t="str">
        <f t="shared" si="7"/>
        <v/>
      </c>
      <c r="J73" s="133" t="str">
        <f t="shared" si="8"/>
        <v/>
      </c>
      <c r="K73" s="137" t="s">
        <v>278</v>
      </c>
      <c r="L73" s="136"/>
    </row>
    <row r="74">
      <c r="A74" s="134">
        <v>46095.0</v>
      </c>
      <c r="B74" s="133">
        <f t="shared" si="1"/>
        <v>7</v>
      </c>
      <c r="C74" s="133" t="str">
        <f t="shared" si="2"/>
        <v>sábado</v>
      </c>
      <c r="D74" s="133" t="str">
        <f t="shared" si="3"/>
        <v>nao</v>
      </c>
      <c r="E74" s="133" t="str">
        <f t="shared" si="4"/>
        <v/>
      </c>
      <c r="F74" s="133" t="str">
        <f t="shared" si="5"/>
        <v/>
      </c>
      <c r="G74" s="133" t="str">
        <f t="shared" si="6"/>
        <v/>
      </c>
      <c r="H74" s="133" t="str">
        <f t="shared" si="10"/>
        <v/>
      </c>
      <c r="I74" s="133" t="str">
        <f t="shared" si="7"/>
        <v/>
      </c>
      <c r="J74" s="133" t="str">
        <f t="shared" si="8"/>
        <v/>
      </c>
      <c r="K74" s="135" t="str">
        <f t="shared" ref="K74:K75" si="14">IF(AND(D74="sim",E74="sim",F74="",G74="",H74="",I74="",J74=""),"sim","nao")
</f>
        <v>nao</v>
      </c>
      <c r="L74" s="136"/>
    </row>
    <row r="75">
      <c r="A75" s="134">
        <v>46096.0</v>
      </c>
      <c r="B75" s="133">
        <f t="shared" si="1"/>
        <v>1</v>
      </c>
      <c r="C75" s="133" t="str">
        <f t="shared" si="2"/>
        <v>domingo</v>
      </c>
      <c r="D75" s="133" t="str">
        <f t="shared" si="3"/>
        <v>nao</v>
      </c>
      <c r="E75" s="133" t="str">
        <f t="shared" si="4"/>
        <v/>
      </c>
      <c r="F75" s="133" t="str">
        <f t="shared" si="5"/>
        <v/>
      </c>
      <c r="G75" s="133" t="str">
        <f t="shared" si="6"/>
        <v/>
      </c>
      <c r="H75" s="133" t="str">
        <f t="shared" si="10"/>
        <v/>
      </c>
      <c r="I75" s="133" t="str">
        <f t="shared" si="7"/>
        <v/>
      </c>
      <c r="J75" s="133" t="str">
        <f t="shared" si="8"/>
        <v/>
      </c>
      <c r="K75" s="135" t="str">
        <f t="shared" si="14"/>
        <v>nao</v>
      </c>
      <c r="L75" s="136"/>
    </row>
    <row r="76">
      <c r="A76" s="134">
        <v>46097.0</v>
      </c>
      <c r="B76" s="133">
        <f t="shared" si="1"/>
        <v>2</v>
      </c>
      <c r="C76" s="133" t="str">
        <f t="shared" si="2"/>
        <v>segunda-feira</v>
      </c>
      <c r="D76" s="133" t="str">
        <f t="shared" si="3"/>
        <v>sim</v>
      </c>
      <c r="E76" s="133" t="str">
        <f t="shared" si="4"/>
        <v/>
      </c>
      <c r="F76" s="133" t="str">
        <f t="shared" si="5"/>
        <v/>
      </c>
      <c r="G76" s="133" t="str">
        <f t="shared" si="6"/>
        <v/>
      </c>
      <c r="H76" s="133" t="str">
        <f t="shared" si="10"/>
        <v/>
      </c>
      <c r="I76" s="133" t="str">
        <f t="shared" si="7"/>
        <v/>
      </c>
      <c r="J76" s="133" t="str">
        <f t="shared" si="8"/>
        <v/>
      </c>
      <c r="K76" s="137" t="s">
        <v>278</v>
      </c>
      <c r="L76" s="136"/>
    </row>
    <row r="77">
      <c r="A77" s="134">
        <v>46098.0</v>
      </c>
      <c r="B77" s="133">
        <f t="shared" si="1"/>
        <v>3</v>
      </c>
      <c r="C77" s="133" t="str">
        <f t="shared" si="2"/>
        <v>terça-feira</v>
      </c>
      <c r="D77" s="133" t="str">
        <f t="shared" si="3"/>
        <v>sim</v>
      </c>
      <c r="E77" s="133" t="str">
        <f t="shared" si="4"/>
        <v/>
      </c>
      <c r="F77" s="133" t="str">
        <f t="shared" si="5"/>
        <v/>
      </c>
      <c r="G77" s="133" t="str">
        <f t="shared" si="6"/>
        <v/>
      </c>
      <c r="H77" s="133" t="str">
        <f t="shared" si="10"/>
        <v/>
      </c>
      <c r="I77" s="133" t="str">
        <f t="shared" si="7"/>
        <v/>
      </c>
      <c r="J77" s="133" t="str">
        <f t="shared" si="8"/>
        <v/>
      </c>
      <c r="K77" s="137" t="s">
        <v>278</v>
      </c>
      <c r="L77" s="136"/>
    </row>
    <row r="78">
      <c r="A78" s="134">
        <v>46099.0</v>
      </c>
      <c r="B78" s="133">
        <f t="shared" si="1"/>
        <v>4</v>
      </c>
      <c r="C78" s="133" t="str">
        <f t="shared" si="2"/>
        <v>quarta-feira</v>
      </c>
      <c r="D78" s="133" t="str">
        <f t="shared" si="3"/>
        <v>sim</v>
      </c>
      <c r="E78" s="133" t="str">
        <f t="shared" si="4"/>
        <v/>
      </c>
      <c r="F78" s="133" t="str">
        <f t="shared" si="5"/>
        <v/>
      </c>
      <c r="G78" s="133" t="str">
        <f t="shared" si="6"/>
        <v/>
      </c>
      <c r="H78" s="133" t="str">
        <f t="shared" si="10"/>
        <v/>
      </c>
      <c r="I78" s="133" t="str">
        <f t="shared" si="7"/>
        <v/>
      </c>
      <c r="J78" s="133" t="str">
        <f t="shared" si="8"/>
        <v/>
      </c>
      <c r="K78" s="137" t="s">
        <v>278</v>
      </c>
      <c r="L78" s="136"/>
    </row>
    <row r="79">
      <c r="A79" s="134">
        <v>46100.0</v>
      </c>
      <c r="B79" s="133">
        <f t="shared" si="1"/>
        <v>5</v>
      </c>
      <c r="C79" s="133" t="str">
        <f t="shared" si="2"/>
        <v>quinta-feira</v>
      </c>
      <c r="D79" s="133" t="str">
        <f t="shared" si="3"/>
        <v>sim</v>
      </c>
      <c r="E79" s="133" t="str">
        <f t="shared" si="4"/>
        <v/>
      </c>
      <c r="F79" s="133" t="str">
        <f t="shared" si="5"/>
        <v/>
      </c>
      <c r="G79" s="133" t="str">
        <f t="shared" si="6"/>
        <v/>
      </c>
      <c r="H79" s="133" t="str">
        <f t="shared" si="10"/>
        <v/>
      </c>
      <c r="I79" s="133" t="str">
        <f t="shared" si="7"/>
        <v/>
      </c>
      <c r="J79" s="133" t="str">
        <f t="shared" si="8"/>
        <v/>
      </c>
      <c r="K79" s="137" t="s">
        <v>278</v>
      </c>
      <c r="L79" s="136"/>
    </row>
    <row r="80">
      <c r="A80" s="134">
        <v>46101.0</v>
      </c>
      <c r="B80" s="133">
        <f t="shared" si="1"/>
        <v>6</v>
      </c>
      <c r="C80" s="133" t="str">
        <f t="shared" si="2"/>
        <v>sexta-feira</v>
      </c>
      <c r="D80" s="133" t="str">
        <f t="shared" si="3"/>
        <v>sim</v>
      </c>
      <c r="E80" s="133" t="str">
        <f t="shared" si="4"/>
        <v/>
      </c>
      <c r="F80" s="133" t="str">
        <f t="shared" si="5"/>
        <v/>
      </c>
      <c r="G80" s="133" t="str">
        <f t="shared" si="6"/>
        <v/>
      </c>
      <c r="H80" s="133" t="str">
        <f t="shared" si="10"/>
        <v/>
      </c>
      <c r="I80" s="133" t="str">
        <f t="shared" si="7"/>
        <v/>
      </c>
      <c r="J80" s="133" t="str">
        <f t="shared" si="8"/>
        <v/>
      </c>
      <c r="K80" s="137" t="s">
        <v>278</v>
      </c>
      <c r="L80" s="136"/>
    </row>
    <row r="81">
      <c r="A81" s="134">
        <v>46102.0</v>
      </c>
      <c r="B81" s="133">
        <f t="shared" si="1"/>
        <v>7</v>
      </c>
      <c r="C81" s="133" t="str">
        <f t="shared" si="2"/>
        <v>sábado</v>
      </c>
      <c r="D81" s="133" t="str">
        <f t="shared" si="3"/>
        <v>nao</v>
      </c>
      <c r="E81" s="133" t="str">
        <f t="shared" si="4"/>
        <v/>
      </c>
      <c r="F81" s="133" t="str">
        <f t="shared" si="5"/>
        <v/>
      </c>
      <c r="G81" s="133" t="str">
        <f t="shared" si="6"/>
        <v/>
      </c>
      <c r="H81" s="133" t="str">
        <f t="shared" si="10"/>
        <v/>
      </c>
      <c r="I81" s="133" t="str">
        <f t="shared" si="7"/>
        <v/>
      </c>
      <c r="J81" s="133" t="str">
        <f t="shared" si="8"/>
        <v/>
      </c>
      <c r="K81" s="135" t="str">
        <f t="shared" ref="K81:K82" si="15">IF(AND(D81="sim",E81="sim",F81="",G81="",H81="",I81="",J81=""),"sim","nao")
</f>
        <v>nao</v>
      </c>
      <c r="L81" s="136"/>
    </row>
    <row r="82">
      <c r="A82" s="134">
        <v>46103.0</v>
      </c>
      <c r="B82" s="133">
        <f t="shared" si="1"/>
        <v>1</v>
      </c>
      <c r="C82" s="133" t="str">
        <f t="shared" si="2"/>
        <v>domingo</v>
      </c>
      <c r="D82" s="133" t="str">
        <f t="shared" si="3"/>
        <v>nao</v>
      </c>
      <c r="E82" s="133" t="str">
        <f t="shared" si="4"/>
        <v/>
      </c>
      <c r="F82" s="133" t="str">
        <f t="shared" si="5"/>
        <v/>
      </c>
      <c r="G82" s="133" t="str">
        <f t="shared" si="6"/>
        <v/>
      </c>
      <c r="H82" s="133" t="str">
        <f t="shared" si="10"/>
        <v/>
      </c>
      <c r="I82" s="133" t="str">
        <f t="shared" si="7"/>
        <v/>
      </c>
      <c r="J82" s="133" t="str">
        <f t="shared" si="8"/>
        <v/>
      </c>
      <c r="K82" s="135" t="str">
        <f t="shared" si="15"/>
        <v>nao</v>
      </c>
      <c r="L82" s="136"/>
    </row>
    <row r="83">
      <c r="A83" s="134">
        <v>46104.0</v>
      </c>
      <c r="B83" s="133">
        <f t="shared" si="1"/>
        <v>2</v>
      </c>
      <c r="C83" s="133" t="str">
        <f t="shared" si="2"/>
        <v>segunda-feira</v>
      </c>
      <c r="D83" s="133" t="str">
        <f t="shared" si="3"/>
        <v>sim</v>
      </c>
      <c r="E83" s="133" t="str">
        <f t="shared" si="4"/>
        <v/>
      </c>
      <c r="F83" s="133" t="str">
        <f t="shared" si="5"/>
        <v/>
      </c>
      <c r="G83" s="133" t="str">
        <f t="shared" si="6"/>
        <v/>
      </c>
      <c r="H83" s="133" t="str">
        <f t="shared" si="10"/>
        <v/>
      </c>
      <c r="I83" s="133" t="str">
        <f t="shared" si="7"/>
        <v/>
      </c>
      <c r="J83" s="133" t="str">
        <f t="shared" si="8"/>
        <v/>
      </c>
      <c r="K83" s="137" t="s">
        <v>278</v>
      </c>
      <c r="L83" s="136"/>
    </row>
    <row r="84">
      <c r="A84" s="134">
        <v>46105.0</v>
      </c>
      <c r="B84" s="133">
        <f t="shared" si="1"/>
        <v>3</v>
      </c>
      <c r="C84" s="133" t="str">
        <f t="shared" si="2"/>
        <v>terça-feira</v>
      </c>
      <c r="D84" s="133" t="str">
        <f t="shared" si="3"/>
        <v>sim</v>
      </c>
      <c r="E84" s="133" t="str">
        <f t="shared" si="4"/>
        <v/>
      </c>
      <c r="F84" s="133" t="str">
        <f t="shared" si="5"/>
        <v/>
      </c>
      <c r="G84" s="133" t="str">
        <f t="shared" si="6"/>
        <v/>
      </c>
      <c r="H84" s="133" t="str">
        <f t="shared" si="10"/>
        <v/>
      </c>
      <c r="I84" s="133" t="str">
        <f t="shared" si="7"/>
        <v/>
      </c>
      <c r="J84" s="133" t="str">
        <f t="shared" si="8"/>
        <v/>
      </c>
      <c r="K84" s="137" t="s">
        <v>278</v>
      </c>
      <c r="L84" s="136"/>
    </row>
    <row r="85">
      <c r="A85" s="134">
        <v>46106.0</v>
      </c>
      <c r="B85" s="133">
        <f t="shared" si="1"/>
        <v>4</v>
      </c>
      <c r="C85" s="133" t="str">
        <f t="shared" si="2"/>
        <v>quarta-feira</v>
      </c>
      <c r="D85" s="133" t="str">
        <f t="shared" si="3"/>
        <v>sim</v>
      </c>
      <c r="E85" s="133" t="str">
        <f t="shared" si="4"/>
        <v/>
      </c>
      <c r="F85" s="133" t="str">
        <f t="shared" si="5"/>
        <v/>
      </c>
      <c r="G85" s="133" t="str">
        <f t="shared" si="6"/>
        <v/>
      </c>
      <c r="H85" s="133" t="str">
        <f t="shared" si="10"/>
        <v/>
      </c>
      <c r="I85" s="133" t="str">
        <f t="shared" si="7"/>
        <v/>
      </c>
      <c r="J85" s="133" t="str">
        <f t="shared" si="8"/>
        <v/>
      </c>
      <c r="K85" s="137" t="s">
        <v>278</v>
      </c>
      <c r="L85" s="136"/>
    </row>
    <row r="86">
      <c r="A86" s="134">
        <v>46107.0</v>
      </c>
      <c r="B86" s="133">
        <f t="shared" si="1"/>
        <v>5</v>
      </c>
      <c r="C86" s="133" t="str">
        <f t="shared" si="2"/>
        <v>quinta-feira</v>
      </c>
      <c r="D86" s="133" t="str">
        <f t="shared" si="3"/>
        <v>sim</v>
      </c>
      <c r="E86" s="133" t="str">
        <f t="shared" si="4"/>
        <v/>
      </c>
      <c r="F86" s="133" t="str">
        <f t="shared" si="5"/>
        <v/>
      </c>
      <c r="G86" s="133" t="str">
        <f t="shared" si="6"/>
        <v/>
      </c>
      <c r="H86" s="133" t="str">
        <f t="shared" si="10"/>
        <v/>
      </c>
      <c r="I86" s="133" t="str">
        <f t="shared" si="7"/>
        <v/>
      </c>
      <c r="J86" s="133" t="str">
        <f t="shared" si="8"/>
        <v/>
      </c>
      <c r="K86" s="137" t="s">
        <v>278</v>
      </c>
      <c r="L86" s="136"/>
    </row>
    <row r="87">
      <c r="A87" s="134">
        <v>46108.0</v>
      </c>
      <c r="B87" s="133">
        <f t="shared" si="1"/>
        <v>6</v>
      </c>
      <c r="C87" s="133" t="str">
        <f t="shared" si="2"/>
        <v>sexta-feira</v>
      </c>
      <c r="D87" s="133" t="str">
        <f t="shared" si="3"/>
        <v>sim</v>
      </c>
      <c r="E87" s="133" t="str">
        <f t="shared" si="4"/>
        <v/>
      </c>
      <c r="F87" s="133" t="str">
        <f t="shared" si="5"/>
        <v/>
      </c>
      <c r="G87" s="133" t="str">
        <f t="shared" si="6"/>
        <v/>
      </c>
      <c r="H87" s="133" t="str">
        <f t="shared" si="10"/>
        <v/>
      </c>
      <c r="I87" s="133" t="str">
        <f t="shared" si="7"/>
        <v/>
      </c>
      <c r="J87" s="133" t="str">
        <f t="shared" si="8"/>
        <v/>
      </c>
      <c r="K87" s="137" t="s">
        <v>278</v>
      </c>
      <c r="L87" s="136"/>
    </row>
    <row r="88">
      <c r="A88" s="134">
        <v>46109.0</v>
      </c>
      <c r="B88" s="133">
        <f t="shared" si="1"/>
        <v>7</v>
      </c>
      <c r="C88" s="133" t="str">
        <f t="shared" si="2"/>
        <v>sábado</v>
      </c>
      <c r="D88" s="133" t="str">
        <f t="shared" si="3"/>
        <v>nao</v>
      </c>
      <c r="E88" s="133" t="str">
        <f t="shared" si="4"/>
        <v>sim</v>
      </c>
      <c r="F88" s="133" t="str">
        <f t="shared" si="5"/>
        <v/>
      </c>
      <c r="G88" s="133" t="str">
        <f t="shared" si="6"/>
        <v/>
      </c>
      <c r="H88" s="133" t="str">
        <f t="shared" si="10"/>
        <v/>
      </c>
      <c r="I88" s="133" t="str">
        <f t="shared" si="7"/>
        <v/>
      </c>
      <c r="J88" s="133" t="str">
        <f t="shared" si="8"/>
        <v/>
      </c>
      <c r="K88" s="137" t="s">
        <v>278</v>
      </c>
      <c r="L88" s="136"/>
    </row>
    <row r="89">
      <c r="A89" s="134">
        <v>46110.0</v>
      </c>
      <c r="B89" s="133">
        <f t="shared" si="1"/>
        <v>1</v>
      </c>
      <c r="C89" s="133" t="str">
        <f t="shared" si="2"/>
        <v>domingo</v>
      </c>
      <c r="D89" s="133" t="str">
        <f t="shared" si="3"/>
        <v>nao</v>
      </c>
      <c r="E89" s="133" t="str">
        <f t="shared" si="4"/>
        <v/>
      </c>
      <c r="F89" s="133" t="str">
        <f t="shared" si="5"/>
        <v/>
      </c>
      <c r="G89" s="133" t="str">
        <f t="shared" si="6"/>
        <v/>
      </c>
      <c r="H89" s="133" t="str">
        <f t="shared" si="10"/>
        <v/>
      </c>
      <c r="I89" s="133" t="str">
        <f t="shared" si="7"/>
        <v/>
      </c>
      <c r="J89" s="133" t="str">
        <f t="shared" si="8"/>
        <v/>
      </c>
      <c r="K89" s="135" t="str">
        <f>IF(AND(D89="sim",E89="sim",F89="",G89="",H89="",I89="",J89=""),"sim","nao")
</f>
        <v>nao</v>
      </c>
      <c r="L89" s="136"/>
    </row>
    <row r="90">
      <c r="A90" s="134">
        <v>46111.0</v>
      </c>
      <c r="B90" s="133">
        <f t="shared" si="1"/>
        <v>2</v>
      </c>
      <c r="C90" s="133" t="str">
        <f t="shared" si="2"/>
        <v>segunda-feira</v>
      </c>
      <c r="D90" s="133" t="str">
        <f t="shared" si="3"/>
        <v>sim</v>
      </c>
      <c r="E90" s="133" t="str">
        <f t="shared" si="4"/>
        <v/>
      </c>
      <c r="F90" s="133" t="str">
        <f t="shared" si="5"/>
        <v/>
      </c>
      <c r="G90" s="133" t="str">
        <f t="shared" si="6"/>
        <v/>
      </c>
      <c r="H90" s="133" t="str">
        <f t="shared" si="10"/>
        <v/>
      </c>
      <c r="I90" s="133" t="str">
        <f t="shared" si="7"/>
        <v/>
      </c>
      <c r="J90" s="133" t="str">
        <f t="shared" si="8"/>
        <v/>
      </c>
      <c r="K90" s="137" t="s">
        <v>278</v>
      </c>
      <c r="L90" s="136"/>
    </row>
    <row r="91">
      <c r="A91" s="134">
        <v>46112.0</v>
      </c>
      <c r="B91" s="133">
        <f t="shared" si="1"/>
        <v>3</v>
      </c>
      <c r="C91" s="133" t="str">
        <f t="shared" si="2"/>
        <v>terça-feira</v>
      </c>
      <c r="D91" s="133" t="str">
        <f t="shared" si="3"/>
        <v>sim</v>
      </c>
      <c r="E91" s="133" t="str">
        <f t="shared" si="4"/>
        <v/>
      </c>
      <c r="F91" s="133" t="str">
        <f t="shared" si="5"/>
        <v/>
      </c>
      <c r="G91" s="133" t="str">
        <f t="shared" si="6"/>
        <v/>
      </c>
      <c r="H91" s="133" t="str">
        <f t="shared" si="10"/>
        <v/>
      </c>
      <c r="I91" s="133" t="str">
        <f t="shared" si="7"/>
        <v/>
      </c>
      <c r="J91" s="133" t="str">
        <f t="shared" si="8"/>
        <v/>
      </c>
      <c r="K91" s="137" t="s">
        <v>278</v>
      </c>
      <c r="L91" s="136"/>
    </row>
    <row r="92">
      <c r="A92" s="134">
        <v>46113.0</v>
      </c>
      <c r="B92" s="133">
        <f t="shared" si="1"/>
        <v>4</v>
      </c>
      <c r="C92" s="133" t="str">
        <f t="shared" si="2"/>
        <v>quarta-feira</v>
      </c>
      <c r="D92" s="133" t="str">
        <f t="shared" si="3"/>
        <v>sim</v>
      </c>
      <c r="E92" s="133" t="str">
        <f t="shared" si="4"/>
        <v/>
      </c>
      <c r="F92" s="133" t="str">
        <f t="shared" si="5"/>
        <v/>
      </c>
      <c r="G92" s="133" t="str">
        <f t="shared" si="6"/>
        <v/>
      </c>
      <c r="H92" s="133" t="str">
        <f t="shared" si="10"/>
        <v/>
      </c>
      <c r="I92" s="133" t="str">
        <f t="shared" si="7"/>
        <v/>
      </c>
      <c r="J92" s="133" t="str">
        <f t="shared" si="8"/>
        <v/>
      </c>
      <c r="K92" s="137" t="s">
        <v>278</v>
      </c>
      <c r="L92" s="136"/>
    </row>
    <row r="93">
      <c r="A93" s="134">
        <v>46114.0</v>
      </c>
      <c r="B93" s="133">
        <f t="shared" si="1"/>
        <v>5</v>
      </c>
      <c r="C93" s="133" t="str">
        <f t="shared" si="2"/>
        <v>quinta-feira</v>
      </c>
      <c r="D93" s="133" t="str">
        <f t="shared" si="3"/>
        <v>sim</v>
      </c>
      <c r="E93" s="133" t="str">
        <f t="shared" si="4"/>
        <v/>
      </c>
      <c r="F93" s="133" t="str">
        <f t="shared" si="5"/>
        <v/>
      </c>
      <c r="G93" s="133" t="str">
        <f t="shared" si="6"/>
        <v>sim</v>
      </c>
      <c r="H93" s="133" t="str">
        <f t="shared" si="10"/>
        <v/>
      </c>
      <c r="I93" s="133" t="str">
        <f t="shared" si="7"/>
        <v/>
      </c>
      <c r="J93" s="133" t="str">
        <f t="shared" si="8"/>
        <v/>
      </c>
      <c r="K93" s="135" t="str">
        <f t="shared" ref="K93:K96" si="16">IF(AND(D93="sim",E93="sim",F93="",G93="",H93="",I93="",J93=""),"sim","nao")
</f>
        <v>nao</v>
      </c>
      <c r="L93" s="136"/>
    </row>
    <row r="94">
      <c r="A94" s="134">
        <v>46115.0</v>
      </c>
      <c r="B94" s="133">
        <f t="shared" si="1"/>
        <v>6</v>
      </c>
      <c r="C94" s="133" t="str">
        <f t="shared" si="2"/>
        <v>sexta-feira</v>
      </c>
      <c r="D94" s="133" t="str">
        <f t="shared" si="3"/>
        <v>sim</v>
      </c>
      <c r="E94" s="133" t="str">
        <f t="shared" si="4"/>
        <v/>
      </c>
      <c r="F94" s="133" t="str">
        <f t="shared" si="5"/>
        <v>sim</v>
      </c>
      <c r="G94" s="133" t="str">
        <f t="shared" si="6"/>
        <v/>
      </c>
      <c r="H94" s="133" t="str">
        <f t="shared" si="10"/>
        <v/>
      </c>
      <c r="I94" s="133" t="str">
        <f t="shared" si="7"/>
        <v/>
      </c>
      <c r="J94" s="133" t="str">
        <f t="shared" si="8"/>
        <v/>
      </c>
      <c r="K94" s="135" t="str">
        <f t="shared" si="16"/>
        <v>nao</v>
      </c>
      <c r="L94" s="136"/>
    </row>
    <row r="95">
      <c r="A95" s="134">
        <v>46116.0</v>
      </c>
      <c r="B95" s="133">
        <f t="shared" si="1"/>
        <v>7</v>
      </c>
      <c r="C95" s="133" t="str">
        <f t="shared" si="2"/>
        <v>sábado</v>
      </c>
      <c r="D95" s="133" t="str">
        <f t="shared" si="3"/>
        <v>nao</v>
      </c>
      <c r="E95" s="133" t="str">
        <f t="shared" si="4"/>
        <v/>
      </c>
      <c r="F95" s="133" t="str">
        <f t="shared" si="5"/>
        <v/>
      </c>
      <c r="G95" s="133" t="str">
        <f t="shared" si="6"/>
        <v/>
      </c>
      <c r="H95" s="133" t="str">
        <f t="shared" si="10"/>
        <v/>
      </c>
      <c r="I95" s="133" t="str">
        <f t="shared" si="7"/>
        <v/>
      </c>
      <c r="J95" s="133" t="str">
        <f t="shared" si="8"/>
        <v/>
      </c>
      <c r="K95" s="135" t="str">
        <f t="shared" si="16"/>
        <v>nao</v>
      </c>
      <c r="L95" s="136"/>
    </row>
    <row r="96">
      <c r="A96" s="134">
        <v>46117.0</v>
      </c>
      <c r="B96" s="133">
        <f t="shared" si="1"/>
        <v>1</v>
      </c>
      <c r="C96" s="133" t="str">
        <f t="shared" si="2"/>
        <v>domingo</v>
      </c>
      <c r="D96" s="133" t="str">
        <f t="shared" si="3"/>
        <v>nao</v>
      </c>
      <c r="E96" s="133" t="str">
        <f t="shared" si="4"/>
        <v/>
      </c>
      <c r="F96" s="133" t="str">
        <f t="shared" si="5"/>
        <v/>
      </c>
      <c r="G96" s="133" t="str">
        <f t="shared" si="6"/>
        <v/>
      </c>
      <c r="H96" s="133" t="str">
        <f t="shared" si="10"/>
        <v/>
      </c>
      <c r="I96" s="133" t="str">
        <f t="shared" si="7"/>
        <v/>
      </c>
      <c r="J96" s="133" t="str">
        <f t="shared" si="8"/>
        <v/>
      </c>
      <c r="K96" s="135" t="str">
        <f t="shared" si="16"/>
        <v>nao</v>
      </c>
      <c r="L96" s="136"/>
    </row>
    <row r="97">
      <c r="A97" s="134">
        <v>46118.0</v>
      </c>
      <c r="B97" s="133">
        <f t="shared" si="1"/>
        <v>2</v>
      </c>
      <c r="C97" s="133" t="str">
        <f t="shared" si="2"/>
        <v>segunda-feira</v>
      </c>
      <c r="D97" s="133" t="str">
        <f t="shared" si="3"/>
        <v>sim</v>
      </c>
      <c r="E97" s="133" t="str">
        <f t="shared" si="4"/>
        <v/>
      </c>
      <c r="F97" s="133" t="str">
        <f t="shared" si="5"/>
        <v/>
      </c>
      <c r="G97" s="133" t="str">
        <f t="shared" si="6"/>
        <v/>
      </c>
      <c r="H97" s="133" t="str">
        <f t="shared" si="10"/>
        <v/>
      </c>
      <c r="I97" s="133" t="str">
        <f t="shared" si="7"/>
        <v/>
      </c>
      <c r="J97" s="133" t="str">
        <f t="shared" si="8"/>
        <v/>
      </c>
      <c r="K97" s="137" t="s">
        <v>278</v>
      </c>
      <c r="L97" s="136"/>
    </row>
    <row r="98">
      <c r="A98" s="134">
        <v>46119.0</v>
      </c>
      <c r="B98" s="133">
        <f t="shared" si="1"/>
        <v>3</v>
      </c>
      <c r="C98" s="133" t="str">
        <f t="shared" si="2"/>
        <v>terça-feira</v>
      </c>
      <c r="D98" s="133" t="str">
        <f t="shared" si="3"/>
        <v>sim</v>
      </c>
      <c r="E98" s="133" t="str">
        <f t="shared" si="4"/>
        <v/>
      </c>
      <c r="F98" s="133" t="str">
        <f t="shared" si="5"/>
        <v/>
      </c>
      <c r="G98" s="133" t="str">
        <f t="shared" si="6"/>
        <v/>
      </c>
      <c r="H98" s="133" t="str">
        <f t="shared" si="10"/>
        <v/>
      </c>
      <c r="I98" s="133" t="str">
        <f t="shared" si="7"/>
        <v/>
      </c>
      <c r="J98" s="133" t="str">
        <f t="shared" si="8"/>
        <v/>
      </c>
      <c r="K98" s="137" t="s">
        <v>278</v>
      </c>
      <c r="L98" s="136"/>
    </row>
    <row r="99">
      <c r="A99" s="134">
        <v>46120.0</v>
      </c>
      <c r="B99" s="133">
        <f t="shared" si="1"/>
        <v>4</v>
      </c>
      <c r="C99" s="133" t="str">
        <f t="shared" si="2"/>
        <v>quarta-feira</v>
      </c>
      <c r="D99" s="133" t="str">
        <f t="shared" si="3"/>
        <v>sim</v>
      </c>
      <c r="E99" s="133" t="str">
        <f t="shared" si="4"/>
        <v/>
      </c>
      <c r="F99" s="133" t="str">
        <f t="shared" si="5"/>
        <v/>
      </c>
      <c r="G99" s="133" t="str">
        <f t="shared" si="6"/>
        <v/>
      </c>
      <c r="H99" s="133" t="str">
        <f t="shared" si="10"/>
        <v/>
      </c>
      <c r="I99" s="133" t="str">
        <f t="shared" si="7"/>
        <v/>
      </c>
      <c r="J99" s="133" t="str">
        <f t="shared" si="8"/>
        <v/>
      </c>
      <c r="K99" s="137" t="s">
        <v>278</v>
      </c>
      <c r="L99" s="136"/>
    </row>
    <row r="100">
      <c r="A100" s="134">
        <v>46121.0</v>
      </c>
      <c r="B100" s="133">
        <f t="shared" si="1"/>
        <v>5</v>
      </c>
      <c r="C100" s="133" t="str">
        <f t="shared" si="2"/>
        <v>quinta-feira</v>
      </c>
      <c r="D100" s="133" t="str">
        <f t="shared" si="3"/>
        <v>sim</v>
      </c>
      <c r="E100" s="133" t="str">
        <f t="shared" si="4"/>
        <v/>
      </c>
      <c r="F100" s="133" t="str">
        <f t="shared" si="5"/>
        <v/>
      </c>
      <c r="G100" s="133" t="str">
        <f t="shared" si="6"/>
        <v/>
      </c>
      <c r="H100" s="133" t="str">
        <f t="shared" si="10"/>
        <v/>
      </c>
      <c r="I100" s="133" t="str">
        <f t="shared" si="7"/>
        <v/>
      </c>
      <c r="J100" s="133" t="str">
        <f t="shared" si="8"/>
        <v/>
      </c>
      <c r="K100" s="137" t="s">
        <v>278</v>
      </c>
      <c r="L100" s="136"/>
    </row>
    <row r="101">
      <c r="A101" s="134">
        <v>46122.0</v>
      </c>
      <c r="B101" s="133">
        <f t="shared" si="1"/>
        <v>6</v>
      </c>
      <c r="C101" s="133" t="str">
        <f t="shared" si="2"/>
        <v>sexta-feira</v>
      </c>
      <c r="D101" s="133" t="str">
        <f t="shared" si="3"/>
        <v>sim</v>
      </c>
      <c r="E101" s="133" t="str">
        <f t="shared" si="4"/>
        <v/>
      </c>
      <c r="F101" s="133" t="str">
        <f t="shared" si="5"/>
        <v/>
      </c>
      <c r="G101" s="133" t="str">
        <f t="shared" si="6"/>
        <v/>
      </c>
      <c r="H101" s="133" t="str">
        <f t="shared" si="10"/>
        <v/>
      </c>
      <c r="I101" s="133" t="str">
        <f t="shared" si="7"/>
        <v/>
      </c>
      <c r="J101" s="133" t="str">
        <f t="shared" si="8"/>
        <v/>
      </c>
      <c r="K101" s="137" t="s">
        <v>278</v>
      </c>
      <c r="L101" s="136"/>
    </row>
    <row r="102">
      <c r="A102" s="134">
        <v>46123.0</v>
      </c>
      <c r="B102" s="133">
        <f t="shared" si="1"/>
        <v>7</v>
      </c>
      <c r="C102" s="133" t="str">
        <f t="shared" si="2"/>
        <v>sábado</v>
      </c>
      <c r="D102" s="133" t="str">
        <f t="shared" si="3"/>
        <v>nao</v>
      </c>
      <c r="E102" s="133" t="str">
        <f t="shared" si="4"/>
        <v/>
      </c>
      <c r="F102" s="133" t="str">
        <f t="shared" si="5"/>
        <v/>
      </c>
      <c r="G102" s="133" t="str">
        <f t="shared" si="6"/>
        <v/>
      </c>
      <c r="H102" s="133" t="str">
        <f t="shared" si="10"/>
        <v/>
      </c>
      <c r="I102" s="133" t="str">
        <f t="shared" si="7"/>
        <v/>
      </c>
      <c r="J102" s="133" t="str">
        <f t="shared" si="8"/>
        <v/>
      </c>
      <c r="K102" s="135" t="str">
        <f t="shared" ref="K102:K103" si="17">IF(AND(D102="sim",E102="sim",F102="",G102="",H102="",I102="",J102=""),"sim","nao")
</f>
        <v>nao</v>
      </c>
      <c r="L102" s="136"/>
    </row>
    <row r="103">
      <c r="A103" s="134">
        <v>46124.0</v>
      </c>
      <c r="B103" s="133">
        <f t="shared" si="1"/>
        <v>1</v>
      </c>
      <c r="C103" s="133" t="str">
        <f t="shared" si="2"/>
        <v>domingo</v>
      </c>
      <c r="D103" s="133" t="str">
        <f t="shared" si="3"/>
        <v>nao</v>
      </c>
      <c r="E103" s="133" t="str">
        <f t="shared" si="4"/>
        <v/>
      </c>
      <c r="F103" s="133" t="str">
        <f t="shared" si="5"/>
        <v/>
      </c>
      <c r="G103" s="133" t="str">
        <f t="shared" si="6"/>
        <v/>
      </c>
      <c r="H103" s="133" t="str">
        <f t="shared" si="10"/>
        <v/>
      </c>
      <c r="I103" s="133" t="str">
        <f t="shared" si="7"/>
        <v/>
      </c>
      <c r="J103" s="133" t="str">
        <f t="shared" si="8"/>
        <v/>
      </c>
      <c r="K103" s="135" t="str">
        <f t="shared" si="17"/>
        <v>nao</v>
      </c>
      <c r="L103" s="136"/>
    </row>
    <row r="104">
      <c r="A104" s="134">
        <v>46125.0</v>
      </c>
      <c r="B104" s="133">
        <f t="shared" si="1"/>
        <v>2</v>
      </c>
      <c r="C104" s="133" t="str">
        <f t="shared" si="2"/>
        <v>segunda-feira</v>
      </c>
      <c r="D104" s="133" t="str">
        <f t="shared" si="3"/>
        <v>sim</v>
      </c>
      <c r="E104" s="133" t="str">
        <f t="shared" si="4"/>
        <v/>
      </c>
      <c r="F104" s="133" t="str">
        <f t="shared" si="5"/>
        <v/>
      </c>
      <c r="G104" s="133" t="str">
        <f t="shared" si="6"/>
        <v/>
      </c>
      <c r="H104" s="133" t="str">
        <f t="shared" si="10"/>
        <v/>
      </c>
      <c r="I104" s="133" t="str">
        <f t="shared" si="7"/>
        <v/>
      </c>
      <c r="J104" s="133" t="str">
        <f t="shared" si="8"/>
        <v/>
      </c>
      <c r="K104" s="138" t="s">
        <v>278</v>
      </c>
      <c r="L104" s="136"/>
    </row>
    <row r="105">
      <c r="A105" s="134">
        <v>46126.0</v>
      </c>
      <c r="B105" s="133">
        <f t="shared" si="1"/>
        <v>3</v>
      </c>
      <c r="C105" s="133" t="str">
        <f t="shared" si="2"/>
        <v>terça-feira</v>
      </c>
      <c r="D105" s="133" t="str">
        <f t="shared" si="3"/>
        <v>sim</v>
      </c>
      <c r="E105" s="133" t="str">
        <f t="shared" si="4"/>
        <v/>
      </c>
      <c r="F105" s="133" t="str">
        <f t="shared" si="5"/>
        <v/>
      </c>
      <c r="G105" s="133" t="str">
        <f t="shared" si="6"/>
        <v/>
      </c>
      <c r="H105" s="133" t="str">
        <f t="shared" si="10"/>
        <v/>
      </c>
      <c r="I105" s="133" t="str">
        <f t="shared" si="7"/>
        <v/>
      </c>
      <c r="J105" s="133" t="str">
        <f t="shared" si="8"/>
        <v/>
      </c>
      <c r="K105" s="138" t="s">
        <v>278</v>
      </c>
      <c r="L105" s="136"/>
    </row>
    <row r="106">
      <c r="A106" s="134">
        <v>46127.0</v>
      </c>
      <c r="B106" s="133">
        <f t="shared" si="1"/>
        <v>4</v>
      </c>
      <c r="C106" s="133" t="str">
        <f t="shared" si="2"/>
        <v>quarta-feira</v>
      </c>
      <c r="D106" s="133" t="str">
        <f t="shared" si="3"/>
        <v>sim</v>
      </c>
      <c r="E106" s="133" t="str">
        <f t="shared" si="4"/>
        <v/>
      </c>
      <c r="F106" s="133" t="str">
        <f t="shared" si="5"/>
        <v/>
      </c>
      <c r="G106" s="133" t="str">
        <f t="shared" si="6"/>
        <v/>
      </c>
      <c r="H106" s="133" t="str">
        <f t="shared" si="10"/>
        <v/>
      </c>
      <c r="I106" s="133" t="str">
        <f t="shared" si="7"/>
        <v/>
      </c>
      <c r="J106" s="133" t="str">
        <f t="shared" si="8"/>
        <v/>
      </c>
      <c r="K106" s="138" t="s">
        <v>278</v>
      </c>
      <c r="L106" s="136"/>
    </row>
    <row r="107">
      <c r="A107" s="134">
        <v>46128.0</v>
      </c>
      <c r="B107" s="133">
        <f t="shared" si="1"/>
        <v>5</v>
      </c>
      <c r="C107" s="133" t="str">
        <f t="shared" si="2"/>
        <v>quinta-feira</v>
      </c>
      <c r="D107" s="133" t="str">
        <f t="shared" si="3"/>
        <v>sim</v>
      </c>
      <c r="E107" s="133" t="str">
        <f t="shared" si="4"/>
        <v/>
      </c>
      <c r="F107" s="133" t="str">
        <f t="shared" si="5"/>
        <v/>
      </c>
      <c r="G107" s="133" t="str">
        <f t="shared" si="6"/>
        <v/>
      </c>
      <c r="H107" s="133" t="str">
        <f t="shared" si="10"/>
        <v/>
      </c>
      <c r="I107" s="133" t="str">
        <f t="shared" si="7"/>
        <v/>
      </c>
      <c r="J107" s="133" t="str">
        <f t="shared" si="8"/>
        <v/>
      </c>
      <c r="K107" s="138" t="s">
        <v>278</v>
      </c>
      <c r="L107" s="136"/>
    </row>
    <row r="108">
      <c r="A108" s="134">
        <v>46129.0</v>
      </c>
      <c r="B108" s="133">
        <f t="shared" si="1"/>
        <v>6</v>
      </c>
      <c r="C108" s="133" t="str">
        <f t="shared" si="2"/>
        <v>sexta-feira</v>
      </c>
      <c r="D108" s="133" t="str">
        <f t="shared" si="3"/>
        <v>sim</v>
      </c>
      <c r="E108" s="133" t="str">
        <f t="shared" si="4"/>
        <v/>
      </c>
      <c r="F108" s="133" t="str">
        <f t="shared" si="5"/>
        <v/>
      </c>
      <c r="G108" s="133" t="str">
        <f t="shared" si="6"/>
        <v/>
      </c>
      <c r="H108" s="133" t="str">
        <f t="shared" si="10"/>
        <v/>
      </c>
      <c r="I108" s="133" t="str">
        <f t="shared" si="7"/>
        <v/>
      </c>
      <c r="J108" s="133" t="str">
        <f t="shared" si="8"/>
        <v/>
      </c>
      <c r="K108" s="138" t="s">
        <v>278</v>
      </c>
      <c r="L108" s="136"/>
    </row>
    <row r="109">
      <c r="A109" s="134">
        <v>46130.0</v>
      </c>
      <c r="B109" s="133">
        <f t="shared" si="1"/>
        <v>7</v>
      </c>
      <c r="C109" s="133" t="str">
        <f t="shared" si="2"/>
        <v>sábado</v>
      </c>
      <c r="D109" s="133" t="str">
        <f t="shared" si="3"/>
        <v>nao</v>
      </c>
      <c r="E109" s="133" t="str">
        <f t="shared" si="4"/>
        <v/>
      </c>
      <c r="F109" s="133" t="str">
        <f t="shared" si="5"/>
        <v/>
      </c>
      <c r="G109" s="133" t="str">
        <f t="shared" si="6"/>
        <v/>
      </c>
      <c r="H109" s="133" t="str">
        <f t="shared" si="10"/>
        <v/>
      </c>
      <c r="I109" s="133" t="str">
        <f t="shared" si="7"/>
        <v/>
      </c>
      <c r="J109" s="133" t="str">
        <f t="shared" si="8"/>
        <v/>
      </c>
      <c r="K109" s="139" t="str">
        <f t="shared" ref="K109:K112" si="18">IF(AND(D109="sim",E109="sim",F109="",G109="",H109="",I109="",J109=""),"sim","nao")
</f>
        <v>nao</v>
      </c>
      <c r="L109" s="136"/>
    </row>
    <row r="110">
      <c r="A110" s="134">
        <v>46131.0</v>
      </c>
      <c r="B110" s="133">
        <f t="shared" si="1"/>
        <v>1</v>
      </c>
      <c r="C110" s="133" t="str">
        <f t="shared" si="2"/>
        <v>domingo</v>
      </c>
      <c r="D110" s="133" t="str">
        <f t="shared" si="3"/>
        <v>nao</v>
      </c>
      <c r="E110" s="133" t="str">
        <f t="shared" si="4"/>
        <v/>
      </c>
      <c r="F110" s="133" t="str">
        <f t="shared" si="5"/>
        <v/>
      </c>
      <c r="G110" s="133" t="str">
        <f t="shared" si="6"/>
        <v/>
      </c>
      <c r="H110" s="133" t="str">
        <f t="shared" si="10"/>
        <v/>
      </c>
      <c r="I110" s="133" t="str">
        <f t="shared" si="7"/>
        <v/>
      </c>
      <c r="J110" s="133" t="str">
        <f t="shared" si="8"/>
        <v/>
      </c>
      <c r="K110" s="139" t="str">
        <f t="shared" si="18"/>
        <v>nao</v>
      </c>
      <c r="L110" s="136"/>
    </row>
    <row r="111">
      <c r="A111" s="134">
        <v>46132.0</v>
      </c>
      <c r="B111" s="133">
        <f t="shared" si="1"/>
        <v>2</v>
      </c>
      <c r="C111" s="133" t="str">
        <f t="shared" si="2"/>
        <v>segunda-feira</v>
      </c>
      <c r="D111" s="133" t="str">
        <f t="shared" si="3"/>
        <v>sim</v>
      </c>
      <c r="E111" s="133" t="str">
        <f t="shared" si="4"/>
        <v/>
      </c>
      <c r="F111" s="133" t="str">
        <f t="shared" si="5"/>
        <v/>
      </c>
      <c r="G111" s="133" t="str">
        <f t="shared" si="6"/>
        <v>sim</v>
      </c>
      <c r="H111" s="133" t="str">
        <f t="shared" si="10"/>
        <v/>
      </c>
      <c r="I111" s="133" t="str">
        <f t="shared" si="7"/>
        <v/>
      </c>
      <c r="J111" s="133" t="str">
        <f t="shared" si="8"/>
        <v/>
      </c>
      <c r="K111" s="139" t="str">
        <f t="shared" si="18"/>
        <v>nao</v>
      </c>
      <c r="L111" s="136"/>
    </row>
    <row r="112">
      <c r="A112" s="134">
        <v>46133.0</v>
      </c>
      <c r="B112" s="133">
        <f t="shared" si="1"/>
        <v>3</v>
      </c>
      <c r="C112" s="133" t="str">
        <f t="shared" si="2"/>
        <v>terça-feira</v>
      </c>
      <c r="D112" s="133" t="str">
        <f t="shared" si="3"/>
        <v>sim</v>
      </c>
      <c r="E112" s="133" t="str">
        <f t="shared" si="4"/>
        <v/>
      </c>
      <c r="F112" s="133" t="str">
        <f t="shared" si="5"/>
        <v>sim</v>
      </c>
      <c r="G112" s="133" t="str">
        <f t="shared" si="6"/>
        <v/>
      </c>
      <c r="H112" s="133" t="str">
        <f t="shared" si="10"/>
        <v/>
      </c>
      <c r="I112" s="133" t="str">
        <f t="shared" si="7"/>
        <v/>
      </c>
      <c r="J112" s="133" t="str">
        <f t="shared" si="8"/>
        <v/>
      </c>
      <c r="K112" s="139" t="str">
        <f t="shared" si="18"/>
        <v>nao</v>
      </c>
      <c r="L112" s="136"/>
    </row>
    <row r="113">
      <c r="A113" s="134">
        <v>46134.0</v>
      </c>
      <c r="B113" s="133">
        <f t="shared" si="1"/>
        <v>4</v>
      </c>
      <c r="C113" s="133" t="str">
        <f t="shared" si="2"/>
        <v>quarta-feira</v>
      </c>
      <c r="D113" s="133" t="str">
        <f t="shared" si="3"/>
        <v>sim</v>
      </c>
      <c r="E113" s="133" t="str">
        <f t="shared" si="4"/>
        <v/>
      </c>
      <c r="F113" s="133" t="str">
        <f t="shared" si="5"/>
        <v/>
      </c>
      <c r="G113" s="133" t="str">
        <f t="shared" si="6"/>
        <v/>
      </c>
      <c r="H113" s="133" t="str">
        <f t="shared" si="10"/>
        <v/>
      </c>
      <c r="I113" s="133" t="str">
        <f t="shared" si="7"/>
        <v/>
      </c>
      <c r="J113" s="133" t="str">
        <f t="shared" si="8"/>
        <v/>
      </c>
      <c r="K113" s="138" t="s">
        <v>278</v>
      </c>
      <c r="L113" s="136"/>
    </row>
    <row r="114">
      <c r="A114" s="134">
        <v>46135.0</v>
      </c>
      <c r="B114" s="133">
        <f t="shared" si="1"/>
        <v>5</v>
      </c>
      <c r="C114" s="133" t="str">
        <f t="shared" si="2"/>
        <v>quinta-feira</v>
      </c>
      <c r="D114" s="133" t="str">
        <f t="shared" si="3"/>
        <v>sim</v>
      </c>
      <c r="E114" s="133" t="str">
        <f t="shared" si="4"/>
        <v/>
      </c>
      <c r="F114" s="133" t="str">
        <f t="shared" si="5"/>
        <v/>
      </c>
      <c r="G114" s="133" t="str">
        <f t="shared" si="6"/>
        <v/>
      </c>
      <c r="H114" s="133" t="str">
        <f t="shared" si="10"/>
        <v/>
      </c>
      <c r="I114" s="133" t="str">
        <f t="shared" si="7"/>
        <v/>
      </c>
      <c r="J114" s="133" t="str">
        <f t="shared" si="8"/>
        <v/>
      </c>
      <c r="K114" s="138" t="s">
        <v>278</v>
      </c>
      <c r="L114" s="136"/>
    </row>
    <row r="115">
      <c r="A115" s="134">
        <v>46136.0</v>
      </c>
      <c r="B115" s="133">
        <f t="shared" si="1"/>
        <v>6</v>
      </c>
      <c r="C115" s="133" t="str">
        <f t="shared" si="2"/>
        <v>sexta-feira</v>
      </c>
      <c r="D115" s="133" t="str">
        <f t="shared" si="3"/>
        <v>sim</v>
      </c>
      <c r="E115" s="133" t="str">
        <f t="shared" si="4"/>
        <v/>
      </c>
      <c r="F115" s="133" t="str">
        <f t="shared" si="5"/>
        <v/>
      </c>
      <c r="G115" s="133" t="str">
        <f t="shared" si="6"/>
        <v/>
      </c>
      <c r="H115" s="133" t="str">
        <f t="shared" si="10"/>
        <v/>
      </c>
      <c r="I115" s="133" t="str">
        <f t="shared" si="7"/>
        <v/>
      </c>
      <c r="J115" s="133" t="str">
        <f t="shared" si="8"/>
        <v/>
      </c>
      <c r="K115" s="138" t="s">
        <v>278</v>
      </c>
      <c r="L115" s="136"/>
    </row>
    <row r="116">
      <c r="A116" s="134">
        <v>46137.0</v>
      </c>
      <c r="B116" s="133">
        <f t="shared" si="1"/>
        <v>7</v>
      </c>
      <c r="C116" s="133" t="str">
        <f t="shared" si="2"/>
        <v>sábado</v>
      </c>
      <c r="D116" s="133" t="str">
        <f t="shared" si="3"/>
        <v>nao</v>
      </c>
      <c r="E116" s="133" t="str">
        <f t="shared" si="4"/>
        <v>sim</v>
      </c>
      <c r="F116" s="133" t="str">
        <f t="shared" si="5"/>
        <v/>
      </c>
      <c r="G116" s="133" t="str">
        <f t="shared" si="6"/>
        <v/>
      </c>
      <c r="H116" s="133" t="str">
        <f t="shared" si="10"/>
        <v/>
      </c>
      <c r="I116" s="133" t="str">
        <f t="shared" si="7"/>
        <v/>
      </c>
      <c r="J116" s="133" t="str">
        <f t="shared" si="8"/>
        <v/>
      </c>
      <c r="K116" s="138" t="s">
        <v>278</v>
      </c>
      <c r="L116" s="136"/>
    </row>
    <row r="117">
      <c r="A117" s="134">
        <v>46138.0</v>
      </c>
      <c r="B117" s="133">
        <f t="shared" si="1"/>
        <v>1</v>
      </c>
      <c r="C117" s="133" t="str">
        <f t="shared" si="2"/>
        <v>domingo</v>
      </c>
      <c r="D117" s="133" t="str">
        <f t="shared" si="3"/>
        <v>nao</v>
      </c>
      <c r="E117" s="133" t="str">
        <f t="shared" si="4"/>
        <v/>
      </c>
      <c r="F117" s="133" t="str">
        <f t="shared" si="5"/>
        <v/>
      </c>
      <c r="G117" s="133" t="str">
        <f t="shared" si="6"/>
        <v/>
      </c>
      <c r="H117" s="133" t="str">
        <f t="shared" si="10"/>
        <v/>
      </c>
      <c r="I117" s="133" t="str">
        <f t="shared" si="7"/>
        <v/>
      </c>
      <c r="J117" s="133" t="str">
        <f t="shared" si="8"/>
        <v/>
      </c>
      <c r="K117" s="139" t="str">
        <f>IF(AND(D117="sim",E117="sim",F117="",G117="",H117="",I117="",J117=""),"sim","nao")
</f>
        <v>nao</v>
      </c>
      <c r="L117" s="136"/>
    </row>
    <row r="118">
      <c r="A118" s="134">
        <v>46139.0</v>
      </c>
      <c r="B118" s="133">
        <f t="shared" si="1"/>
        <v>2</v>
      </c>
      <c r="C118" s="133" t="str">
        <f t="shared" si="2"/>
        <v>segunda-feira</v>
      </c>
      <c r="D118" s="133" t="str">
        <f t="shared" si="3"/>
        <v>sim</v>
      </c>
      <c r="E118" s="133" t="str">
        <f t="shared" si="4"/>
        <v/>
      </c>
      <c r="F118" s="133" t="str">
        <f t="shared" si="5"/>
        <v/>
      </c>
      <c r="G118" s="133" t="str">
        <f t="shared" si="6"/>
        <v/>
      </c>
      <c r="H118" s="133" t="str">
        <f t="shared" si="10"/>
        <v/>
      </c>
      <c r="I118" s="133" t="str">
        <f t="shared" si="7"/>
        <v/>
      </c>
      <c r="J118" s="133" t="str">
        <f t="shared" si="8"/>
        <v/>
      </c>
      <c r="K118" s="138" t="s">
        <v>278</v>
      </c>
      <c r="L118" s="136"/>
    </row>
    <row r="119">
      <c r="A119" s="134">
        <v>46140.0</v>
      </c>
      <c r="B119" s="133">
        <f t="shared" si="1"/>
        <v>3</v>
      </c>
      <c r="C119" s="133" t="str">
        <f t="shared" si="2"/>
        <v>terça-feira</v>
      </c>
      <c r="D119" s="133" t="str">
        <f t="shared" si="3"/>
        <v>sim</v>
      </c>
      <c r="E119" s="133" t="str">
        <f t="shared" si="4"/>
        <v/>
      </c>
      <c r="F119" s="133" t="str">
        <f t="shared" si="5"/>
        <v/>
      </c>
      <c r="G119" s="133" t="str">
        <f t="shared" si="6"/>
        <v/>
      </c>
      <c r="H119" s="133" t="str">
        <f t="shared" si="10"/>
        <v/>
      </c>
      <c r="I119" s="133" t="str">
        <f t="shared" si="7"/>
        <v/>
      </c>
      <c r="J119" s="133" t="str">
        <f t="shared" si="8"/>
        <v/>
      </c>
      <c r="K119" s="138" t="s">
        <v>278</v>
      </c>
      <c r="L119" s="136"/>
    </row>
    <row r="120">
      <c r="A120" s="134">
        <v>46141.0</v>
      </c>
      <c r="B120" s="133">
        <f t="shared" si="1"/>
        <v>4</v>
      </c>
      <c r="C120" s="133" t="str">
        <f t="shared" si="2"/>
        <v>quarta-feira</v>
      </c>
      <c r="D120" s="133" t="str">
        <f t="shared" si="3"/>
        <v>sim</v>
      </c>
      <c r="E120" s="133" t="str">
        <f t="shared" si="4"/>
        <v/>
      </c>
      <c r="F120" s="133" t="str">
        <f t="shared" si="5"/>
        <v/>
      </c>
      <c r="G120" s="133" t="str">
        <f t="shared" si="6"/>
        <v/>
      </c>
      <c r="H120" s="133" t="str">
        <f t="shared" si="10"/>
        <v/>
      </c>
      <c r="I120" s="133" t="str">
        <f t="shared" si="7"/>
        <v/>
      </c>
      <c r="J120" s="133" t="str">
        <f t="shared" si="8"/>
        <v/>
      </c>
      <c r="K120" s="138" t="s">
        <v>278</v>
      </c>
      <c r="L120" s="136"/>
    </row>
    <row r="121">
      <c r="A121" s="134">
        <v>46142.0</v>
      </c>
      <c r="B121" s="133">
        <f t="shared" si="1"/>
        <v>5</v>
      </c>
      <c r="C121" s="133" t="str">
        <f t="shared" si="2"/>
        <v>quinta-feira</v>
      </c>
      <c r="D121" s="133" t="str">
        <f t="shared" si="3"/>
        <v>sim</v>
      </c>
      <c r="E121" s="133" t="str">
        <f t="shared" si="4"/>
        <v/>
      </c>
      <c r="F121" s="133" t="str">
        <f t="shared" si="5"/>
        <v/>
      </c>
      <c r="G121" s="133" t="str">
        <f t="shared" si="6"/>
        <v/>
      </c>
      <c r="H121" s="133" t="str">
        <f t="shared" si="10"/>
        <v/>
      </c>
      <c r="I121" s="133" t="str">
        <f t="shared" si="7"/>
        <v/>
      </c>
      <c r="J121" s="133" t="str">
        <f t="shared" si="8"/>
        <v/>
      </c>
      <c r="K121" s="138" t="s">
        <v>278</v>
      </c>
      <c r="L121" s="136"/>
    </row>
    <row r="122">
      <c r="A122" s="134">
        <v>46143.0</v>
      </c>
      <c r="B122" s="133">
        <f t="shared" si="1"/>
        <v>6</v>
      </c>
      <c r="C122" s="133" t="str">
        <f t="shared" si="2"/>
        <v>sexta-feira</v>
      </c>
      <c r="D122" s="133" t="str">
        <f t="shared" si="3"/>
        <v>sim</v>
      </c>
      <c r="E122" s="133" t="str">
        <f t="shared" si="4"/>
        <v/>
      </c>
      <c r="F122" s="133" t="str">
        <f t="shared" si="5"/>
        <v>sim</v>
      </c>
      <c r="G122" s="133" t="str">
        <f t="shared" si="6"/>
        <v/>
      </c>
      <c r="H122" s="133" t="str">
        <f t="shared" si="10"/>
        <v/>
      </c>
      <c r="I122" s="133" t="str">
        <f t="shared" si="7"/>
        <v/>
      </c>
      <c r="J122" s="133" t="str">
        <f t="shared" si="8"/>
        <v/>
      </c>
      <c r="K122" s="139" t="str">
        <f t="shared" ref="K122:K124" si="19">IF(AND(D122="sim",E122="sim",F122="",G122="",H122="",I122="",J122=""),"sim","nao")
</f>
        <v>nao</v>
      </c>
      <c r="L122" s="136"/>
    </row>
    <row r="123">
      <c r="A123" s="134">
        <v>46144.0</v>
      </c>
      <c r="B123" s="133">
        <f t="shared" si="1"/>
        <v>7</v>
      </c>
      <c r="C123" s="133" t="str">
        <f t="shared" si="2"/>
        <v>sábado</v>
      </c>
      <c r="D123" s="133" t="str">
        <f t="shared" si="3"/>
        <v>nao</v>
      </c>
      <c r="E123" s="133" t="str">
        <f t="shared" si="4"/>
        <v/>
      </c>
      <c r="F123" s="133" t="str">
        <f t="shared" si="5"/>
        <v/>
      </c>
      <c r="G123" s="133" t="str">
        <f t="shared" si="6"/>
        <v/>
      </c>
      <c r="H123" s="133" t="str">
        <f t="shared" si="10"/>
        <v/>
      </c>
      <c r="I123" s="133" t="str">
        <f t="shared" si="7"/>
        <v/>
      </c>
      <c r="J123" s="133" t="str">
        <f t="shared" si="8"/>
        <v/>
      </c>
      <c r="K123" s="139" t="str">
        <f t="shared" si="19"/>
        <v>nao</v>
      </c>
      <c r="L123" s="136"/>
    </row>
    <row r="124">
      <c r="A124" s="134">
        <v>46145.0</v>
      </c>
      <c r="B124" s="133">
        <f t="shared" si="1"/>
        <v>1</v>
      </c>
      <c r="C124" s="133" t="str">
        <f t="shared" si="2"/>
        <v>domingo</v>
      </c>
      <c r="D124" s="133" t="str">
        <f t="shared" si="3"/>
        <v>nao</v>
      </c>
      <c r="E124" s="133" t="str">
        <f t="shared" si="4"/>
        <v/>
      </c>
      <c r="F124" s="133" t="str">
        <f t="shared" si="5"/>
        <v/>
      </c>
      <c r="G124" s="133" t="str">
        <f t="shared" si="6"/>
        <v/>
      </c>
      <c r="H124" s="133" t="str">
        <f t="shared" si="10"/>
        <v/>
      </c>
      <c r="I124" s="133" t="str">
        <f t="shared" si="7"/>
        <v/>
      </c>
      <c r="J124" s="133" t="str">
        <f t="shared" si="8"/>
        <v/>
      </c>
      <c r="K124" s="139" t="str">
        <f t="shared" si="19"/>
        <v>nao</v>
      </c>
      <c r="L124" s="136"/>
    </row>
    <row r="125">
      <c r="A125" s="134">
        <v>46146.0</v>
      </c>
      <c r="B125" s="133">
        <f t="shared" si="1"/>
        <v>2</v>
      </c>
      <c r="C125" s="133" t="str">
        <f t="shared" si="2"/>
        <v>segunda-feira</v>
      </c>
      <c r="D125" s="133" t="str">
        <f t="shared" si="3"/>
        <v>sim</v>
      </c>
      <c r="E125" s="133" t="str">
        <f t="shared" si="4"/>
        <v/>
      </c>
      <c r="F125" s="133" t="str">
        <f t="shared" si="5"/>
        <v/>
      </c>
      <c r="G125" s="133" t="str">
        <f t="shared" si="6"/>
        <v/>
      </c>
      <c r="H125" s="133" t="str">
        <f t="shared" si="10"/>
        <v/>
      </c>
      <c r="I125" s="133" t="str">
        <f t="shared" si="7"/>
        <v/>
      </c>
      <c r="J125" s="133" t="str">
        <f t="shared" si="8"/>
        <v/>
      </c>
      <c r="K125" s="138" t="s">
        <v>278</v>
      </c>
      <c r="L125" s="136"/>
    </row>
    <row r="126">
      <c r="A126" s="134">
        <v>46147.0</v>
      </c>
      <c r="B126" s="133">
        <f t="shared" si="1"/>
        <v>3</v>
      </c>
      <c r="C126" s="133" t="str">
        <f t="shared" si="2"/>
        <v>terça-feira</v>
      </c>
      <c r="D126" s="133" t="str">
        <f t="shared" si="3"/>
        <v>sim</v>
      </c>
      <c r="E126" s="133" t="str">
        <f t="shared" si="4"/>
        <v/>
      </c>
      <c r="F126" s="133" t="str">
        <f t="shared" si="5"/>
        <v/>
      </c>
      <c r="G126" s="133" t="str">
        <f t="shared" si="6"/>
        <v/>
      </c>
      <c r="H126" s="133" t="str">
        <f t="shared" si="10"/>
        <v/>
      </c>
      <c r="I126" s="133" t="str">
        <f t="shared" si="7"/>
        <v/>
      </c>
      <c r="J126" s="133" t="str">
        <f t="shared" si="8"/>
        <v/>
      </c>
      <c r="K126" s="138" t="s">
        <v>278</v>
      </c>
      <c r="L126" s="136"/>
    </row>
    <row r="127">
      <c r="A127" s="134">
        <v>46148.0</v>
      </c>
      <c r="B127" s="133">
        <f t="shared" si="1"/>
        <v>4</v>
      </c>
      <c r="C127" s="133" t="str">
        <f t="shared" si="2"/>
        <v>quarta-feira</v>
      </c>
      <c r="D127" s="133" t="str">
        <f t="shared" si="3"/>
        <v>sim</v>
      </c>
      <c r="E127" s="133" t="str">
        <f t="shared" si="4"/>
        <v/>
      </c>
      <c r="F127" s="133" t="str">
        <f t="shared" si="5"/>
        <v/>
      </c>
      <c r="G127" s="133" t="str">
        <f t="shared" si="6"/>
        <v/>
      </c>
      <c r="H127" s="133" t="str">
        <f t="shared" si="10"/>
        <v/>
      </c>
      <c r="I127" s="133" t="str">
        <f t="shared" si="7"/>
        <v/>
      </c>
      <c r="J127" s="133" t="str">
        <f t="shared" si="8"/>
        <v/>
      </c>
      <c r="K127" s="138" t="s">
        <v>278</v>
      </c>
      <c r="L127" s="136"/>
    </row>
    <row r="128">
      <c r="A128" s="134">
        <v>46149.0</v>
      </c>
      <c r="B128" s="133">
        <f t="shared" si="1"/>
        <v>5</v>
      </c>
      <c r="C128" s="133" t="str">
        <f t="shared" si="2"/>
        <v>quinta-feira</v>
      </c>
      <c r="D128" s="133" t="str">
        <f t="shared" si="3"/>
        <v>sim</v>
      </c>
      <c r="E128" s="133" t="str">
        <f t="shared" si="4"/>
        <v/>
      </c>
      <c r="F128" s="133" t="str">
        <f t="shared" si="5"/>
        <v/>
      </c>
      <c r="G128" s="133" t="str">
        <f t="shared" si="6"/>
        <v/>
      </c>
      <c r="H128" s="133" t="str">
        <f t="shared" si="10"/>
        <v/>
      </c>
      <c r="I128" s="133" t="str">
        <f t="shared" si="7"/>
        <v/>
      </c>
      <c r="J128" s="133" t="str">
        <f t="shared" si="8"/>
        <v/>
      </c>
      <c r="K128" s="138" t="s">
        <v>278</v>
      </c>
      <c r="L128" s="136"/>
    </row>
    <row r="129">
      <c r="A129" s="134">
        <v>46150.0</v>
      </c>
      <c r="B129" s="133">
        <f t="shared" si="1"/>
        <v>6</v>
      </c>
      <c r="C129" s="133" t="str">
        <f t="shared" si="2"/>
        <v>sexta-feira</v>
      </c>
      <c r="D129" s="133" t="str">
        <f t="shared" si="3"/>
        <v>sim</v>
      </c>
      <c r="E129" s="133" t="str">
        <f t="shared" si="4"/>
        <v/>
      </c>
      <c r="F129" s="133" t="str">
        <f t="shared" si="5"/>
        <v/>
      </c>
      <c r="G129" s="133" t="str">
        <f t="shared" si="6"/>
        <v/>
      </c>
      <c r="H129" s="133" t="str">
        <f t="shared" si="10"/>
        <v/>
      </c>
      <c r="I129" s="133" t="str">
        <f t="shared" si="7"/>
        <v/>
      </c>
      <c r="J129" s="133" t="str">
        <f t="shared" si="8"/>
        <v/>
      </c>
      <c r="K129" s="138" t="s">
        <v>278</v>
      </c>
      <c r="L129" s="136"/>
    </row>
    <row r="130">
      <c r="A130" s="134">
        <v>46151.0</v>
      </c>
      <c r="B130" s="133">
        <f t="shared" si="1"/>
        <v>7</v>
      </c>
      <c r="C130" s="133" t="str">
        <f t="shared" si="2"/>
        <v>sábado</v>
      </c>
      <c r="D130" s="133" t="str">
        <f t="shared" si="3"/>
        <v>nao</v>
      </c>
      <c r="E130" s="133" t="str">
        <f t="shared" si="4"/>
        <v/>
      </c>
      <c r="F130" s="133" t="str">
        <f t="shared" si="5"/>
        <v/>
      </c>
      <c r="G130" s="133" t="str">
        <f t="shared" si="6"/>
        <v/>
      </c>
      <c r="H130" s="133" t="str">
        <f t="shared" si="10"/>
        <v/>
      </c>
      <c r="I130" s="133" t="str">
        <f t="shared" si="7"/>
        <v/>
      </c>
      <c r="J130" s="133" t="str">
        <f t="shared" si="8"/>
        <v/>
      </c>
      <c r="K130" s="139" t="str">
        <f t="shared" ref="K130:K131" si="20">IF(AND(D130="sim",E130="sim",F130="",G130="",H130="",I130="",J130=""),"sim","nao")
</f>
        <v>nao</v>
      </c>
      <c r="L130" s="136"/>
    </row>
    <row r="131">
      <c r="A131" s="134">
        <v>46152.0</v>
      </c>
      <c r="B131" s="133">
        <f t="shared" si="1"/>
        <v>1</v>
      </c>
      <c r="C131" s="133" t="str">
        <f t="shared" si="2"/>
        <v>domingo</v>
      </c>
      <c r="D131" s="133" t="str">
        <f t="shared" si="3"/>
        <v>nao</v>
      </c>
      <c r="E131" s="133" t="str">
        <f t="shared" si="4"/>
        <v/>
      </c>
      <c r="F131" s="133" t="str">
        <f t="shared" si="5"/>
        <v/>
      </c>
      <c r="G131" s="133" t="str">
        <f t="shared" si="6"/>
        <v/>
      </c>
      <c r="H131" s="133" t="str">
        <f t="shared" si="10"/>
        <v/>
      </c>
      <c r="I131" s="133" t="str">
        <f t="shared" si="7"/>
        <v/>
      </c>
      <c r="J131" s="133" t="str">
        <f t="shared" si="8"/>
        <v/>
      </c>
      <c r="K131" s="139" t="str">
        <f t="shared" si="20"/>
        <v>nao</v>
      </c>
      <c r="L131" s="136"/>
    </row>
    <row r="132">
      <c r="A132" s="134">
        <v>46153.0</v>
      </c>
      <c r="B132" s="133">
        <f t="shared" si="1"/>
        <v>2</v>
      </c>
      <c r="C132" s="133" t="str">
        <f t="shared" si="2"/>
        <v>segunda-feira</v>
      </c>
      <c r="D132" s="133" t="str">
        <f t="shared" si="3"/>
        <v>sim</v>
      </c>
      <c r="E132" s="133" t="str">
        <f t="shared" si="4"/>
        <v/>
      </c>
      <c r="F132" s="133" t="str">
        <f t="shared" si="5"/>
        <v/>
      </c>
      <c r="G132" s="133" t="str">
        <f t="shared" si="6"/>
        <v/>
      </c>
      <c r="H132" s="133" t="str">
        <f t="shared" si="10"/>
        <v/>
      </c>
      <c r="I132" s="133" t="str">
        <f t="shared" si="7"/>
        <v/>
      </c>
      <c r="J132" s="133" t="str">
        <f t="shared" si="8"/>
        <v/>
      </c>
      <c r="K132" s="138" t="s">
        <v>278</v>
      </c>
      <c r="L132" s="136"/>
    </row>
    <row r="133">
      <c r="A133" s="134">
        <v>46154.0</v>
      </c>
      <c r="B133" s="133">
        <f t="shared" si="1"/>
        <v>3</v>
      </c>
      <c r="C133" s="133" t="str">
        <f t="shared" si="2"/>
        <v>terça-feira</v>
      </c>
      <c r="D133" s="133" t="str">
        <f t="shared" si="3"/>
        <v>sim</v>
      </c>
      <c r="E133" s="133" t="str">
        <f t="shared" si="4"/>
        <v/>
      </c>
      <c r="F133" s="133" t="str">
        <f t="shared" si="5"/>
        <v/>
      </c>
      <c r="G133" s="133" t="str">
        <f t="shared" si="6"/>
        <v/>
      </c>
      <c r="H133" s="133" t="str">
        <f t="shared" si="10"/>
        <v/>
      </c>
      <c r="I133" s="133" t="str">
        <f t="shared" si="7"/>
        <v/>
      </c>
      <c r="J133" s="133" t="str">
        <f t="shared" si="8"/>
        <v/>
      </c>
      <c r="K133" s="138" t="s">
        <v>278</v>
      </c>
      <c r="L133" s="136"/>
    </row>
    <row r="134">
      <c r="A134" s="134">
        <v>46155.0</v>
      </c>
      <c r="B134" s="133">
        <f t="shared" si="1"/>
        <v>4</v>
      </c>
      <c r="C134" s="133" t="str">
        <f t="shared" si="2"/>
        <v>quarta-feira</v>
      </c>
      <c r="D134" s="133" t="str">
        <f t="shared" si="3"/>
        <v>sim</v>
      </c>
      <c r="E134" s="133" t="str">
        <f t="shared" si="4"/>
        <v/>
      </c>
      <c r="F134" s="133" t="str">
        <f t="shared" si="5"/>
        <v/>
      </c>
      <c r="G134" s="133" t="str">
        <f t="shared" si="6"/>
        <v/>
      </c>
      <c r="H134" s="133" t="str">
        <f t="shared" si="10"/>
        <v/>
      </c>
      <c r="I134" s="133" t="str">
        <f t="shared" si="7"/>
        <v/>
      </c>
      <c r="J134" s="133" t="str">
        <f t="shared" si="8"/>
        <v/>
      </c>
      <c r="K134" s="138" t="s">
        <v>278</v>
      </c>
      <c r="L134" s="136"/>
    </row>
    <row r="135">
      <c r="A135" s="134">
        <v>46156.0</v>
      </c>
      <c r="B135" s="133">
        <f t="shared" si="1"/>
        <v>5</v>
      </c>
      <c r="C135" s="133" t="str">
        <f t="shared" si="2"/>
        <v>quinta-feira</v>
      </c>
      <c r="D135" s="133" t="str">
        <f t="shared" si="3"/>
        <v>sim</v>
      </c>
      <c r="E135" s="133" t="str">
        <f t="shared" si="4"/>
        <v/>
      </c>
      <c r="F135" s="133" t="str">
        <f t="shared" si="5"/>
        <v>sim</v>
      </c>
      <c r="G135" s="133" t="str">
        <f t="shared" si="6"/>
        <v/>
      </c>
      <c r="H135" s="133" t="str">
        <f t="shared" si="10"/>
        <v/>
      </c>
      <c r="I135" s="133" t="str">
        <f t="shared" si="7"/>
        <v/>
      </c>
      <c r="J135" s="133" t="str">
        <f t="shared" si="8"/>
        <v/>
      </c>
      <c r="K135" s="139" t="str">
        <f>IF(AND(D135="sim",E135="sim",F135="",G135="",H135="",I135="",J135=""),"sim","nao")
</f>
        <v>nao</v>
      </c>
      <c r="L135" s="136"/>
    </row>
    <row r="136">
      <c r="A136" s="134">
        <v>46157.0</v>
      </c>
      <c r="B136" s="133">
        <f t="shared" si="1"/>
        <v>6</v>
      </c>
      <c r="C136" s="133" t="str">
        <f t="shared" si="2"/>
        <v>sexta-feira</v>
      </c>
      <c r="D136" s="133" t="str">
        <f t="shared" si="3"/>
        <v>sim</v>
      </c>
      <c r="E136" s="133" t="str">
        <f t="shared" si="4"/>
        <v/>
      </c>
      <c r="F136" s="133" t="str">
        <f t="shared" si="5"/>
        <v/>
      </c>
      <c r="G136" s="133" t="str">
        <f t="shared" si="6"/>
        <v/>
      </c>
      <c r="H136" s="133" t="str">
        <f t="shared" si="10"/>
        <v/>
      </c>
      <c r="I136" s="133" t="str">
        <f t="shared" si="7"/>
        <v/>
      </c>
      <c r="J136" s="133" t="str">
        <f t="shared" si="8"/>
        <v/>
      </c>
      <c r="K136" s="138" t="s">
        <v>278</v>
      </c>
      <c r="L136" s="136"/>
    </row>
    <row r="137">
      <c r="A137" s="134">
        <v>46158.0</v>
      </c>
      <c r="B137" s="133">
        <f t="shared" si="1"/>
        <v>7</v>
      </c>
      <c r="C137" s="133" t="str">
        <f t="shared" si="2"/>
        <v>sábado</v>
      </c>
      <c r="D137" s="133" t="str">
        <f t="shared" si="3"/>
        <v>nao</v>
      </c>
      <c r="E137" s="133" t="str">
        <f t="shared" si="4"/>
        <v>sim</v>
      </c>
      <c r="F137" s="133" t="str">
        <f t="shared" si="5"/>
        <v/>
      </c>
      <c r="G137" s="133" t="str">
        <f t="shared" si="6"/>
        <v/>
      </c>
      <c r="H137" s="133" t="str">
        <f t="shared" si="10"/>
        <v/>
      </c>
      <c r="I137" s="133" t="str">
        <f t="shared" si="7"/>
        <v/>
      </c>
      <c r="J137" s="133" t="str">
        <f t="shared" si="8"/>
        <v/>
      </c>
      <c r="K137" s="138" t="s">
        <v>278</v>
      </c>
      <c r="L137" s="136"/>
    </row>
    <row r="138">
      <c r="A138" s="134">
        <v>46159.0</v>
      </c>
      <c r="B138" s="133">
        <f t="shared" si="1"/>
        <v>1</v>
      </c>
      <c r="C138" s="133" t="str">
        <f t="shared" si="2"/>
        <v>domingo</v>
      </c>
      <c r="D138" s="133" t="str">
        <f t="shared" si="3"/>
        <v>nao</v>
      </c>
      <c r="E138" s="133" t="str">
        <f t="shared" si="4"/>
        <v/>
      </c>
      <c r="F138" s="133" t="str">
        <f t="shared" si="5"/>
        <v/>
      </c>
      <c r="G138" s="133" t="str">
        <f t="shared" si="6"/>
        <v/>
      </c>
      <c r="H138" s="133" t="str">
        <f t="shared" si="10"/>
        <v/>
      </c>
      <c r="I138" s="133" t="str">
        <f t="shared" si="7"/>
        <v/>
      </c>
      <c r="J138" s="133" t="str">
        <f t="shared" si="8"/>
        <v/>
      </c>
      <c r="K138" s="139" t="str">
        <f>IF(AND(D138="sim",E138="sim",F138="",G138="",H138="",I138="",J138=""),"sim","nao")
</f>
        <v>nao</v>
      </c>
      <c r="L138" s="136"/>
    </row>
    <row r="139">
      <c r="A139" s="134">
        <v>46160.0</v>
      </c>
      <c r="B139" s="133">
        <f t="shared" si="1"/>
        <v>2</v>
      </c>
      <c r="C139" s="133" t="str">
        <f t="shared" si="2"/>
        <v>segunda-feira</v>
      </c>
      <c r="D139" s="133" t="str">
        <f t="shared" si="3"/>
        <v>sim</v>
      </c>
      <c r="E139" s="133" t="str">
        <f t="shared" si="4"/>
        <v/>
      </c>
      <c r="F139" s="133" t="str">
        <f t="shared" si="5"/>
        <v/>
      </c>
      <c r="G139" s="133" t="str">
        <f t="shared" si="6"/>
        <v/>
      </c>
      <c r="H139" s="133" t="str">
        <f t="shared" si="10"/>
        <v/>
      </c>
      <c r="I139" s="133" t="str">
        <f t="shared" si="7"/>
        <v/>
      </c>
      <c r="J139" s="133" t="str">
        <f t="shared" si="8"/>
        <v/>
      </c>
      <c r="K139" s="138" t="s">
        <v>278</v>
      </c>
      <c r="L139" s="136"/>
    </row>
    <row r="140">
      <c r="A140" s="134">
        <v>46161.0</v>
      </c>
      <c r="B140" s="133">
        <f t="shared" si="1"/>
        <v>3</v>
      </c>
      <c r="C140" s="133" t="str">
        <f t="shared" si="2"/>
        <v>terça-feira</v>
      </c>
      <c r="D140" s="133" t="str">
        <f t="shared" si="3"/>
        <v>sim</v>
      </c>
      <c r="E140" s="133" t="str">
        <f t="shared" si="4"/>
        <v/>
      </c>
      <c r="F140" s="133" t="str">
        <f t="shared" si="5"/>
        <v/>
      </c>
      <c r="G140" s="133" t="str">
        <f t="shared" si="6"/>
        <v/>
      </c>
      <c r="H140" s="133" t="str">
        <f t="shared" si="10"/>
        <v/>
      </c>
      <c r="I140" s="133" t="str">
        <f t="shared" si="7"/>
        <v/>
      </c>
      <c r="J140" s="133" t="str">
        <f t="shared" si="8"/>
        <v/>
      </c>
      <c r="K140" s="138" t="s">
        <v>278</v>
      </c>
      <c r="L140" s="136"/>
    </row>
    <row r="141">
      <c r="A141" s="134">
        <v>46162.0</v>
      </c>
      <c r="B141" s="133">
        <f t="shared" si="1"/>
        <v>4</v>
      </c>
      <c r="C141" s="133" t="str">
        <f t="shared" si="2"/>
        <v>quarta-feira</v>
      </c>
      <c r="D141" s="133" t="str">
        <f t="shared" si="3"/>
        <v>sim</v>
      </c>
      <c r="E141" s="133" t="str">
        <f t="shared" si="4"/>
        <v/>
      </c>
      <c r="F141" s="133" t="str">
        <f t="shared" si="5"/>
        <v/>
      </c>
      <c r="G141" s="133" t="str">
        <f t="shared" si="6"/>
        <v/>
      </c>
      <c r="H141" s="133" t="str">
        <f t="shared" si="10"/>
        <v/>
      </c>
      <c r="I141" s="133" t="str">
        <f t="shared" si="7"/>
        <v/>
      </c>
      <c r="J141" s="133" t="str">
        <f t="shared" si="8"/>
        <v/>
      </c>
      <c r="K141" s="138" t="s">
        <v>278</v>
      </c>
      <c r="L141" s="136"/>
    </row>
    <row r="142">
      <c r="A142" s="134">
        <v>46163.0</v>
      </c>
      <c r="B142" s="133">
        <f t="shared" si="1"/>
        <v>5</v>
      </c>
      <c r="C142" s="133" t="str">
        <f t="shared" si="2"/>
        <v>quinta-feira</v>
      </c>
      <c r="D142" s="133" t="str">
        <f t="shared" si="3"/>
        <v>sim</v>
      </c>
      <c r="E142" s="133" t="str">
        <f t="shared" si="4"/>
        <v/>
      </c>
      <c r="F142" s="133" t="str">
        <f t="shared" si="5"/>
        <v/>
      </c>
      <c r="G142" s="133" t="str">
        <f t="shared" si="6"/>
        <v/>
      </c>
      <c r="H142" s="133" t="str">
        <f t="shared" si="10"/>
        <v/>
      </c>
      <c r="I142" s="133" t="str">
        <f t="shared" si="7"/>
        <v/>
      </c>
      <c r="J142" s="133" t="str">
        <f t="shared" si="8"/>
        <v/>
      </c>
      <c r="K142" s="138" t="s">
        <v>278</v>
      </c>
      <c r="L142" s="136"/>
    </row>
    <row r="143">
      <c r="A143" s="134">
        <v>46164.0</v>
      </c>
      <c r="B143" s="133">
        <f t="shared" si="1"/>
        <v>6</v>
      </c>
      <c r="C143" s="133" t="str">
        <f t="shared" si="2"/>
        <v>sexta-feira</v>
      </c>
      <c r="D143" s="133" t="str">
        <f t="shared" si="3"/>
        <v>sim</v>
      </c>
      <c r="E143" s="133" t="str">
        <f t="shared" si="4"/>
        <v/>
      </c>
      <c r="F143" s="133" t="str">
        <f t="shared" si="5"/>
        <v/>
      </c>
      <c r="G143" s="133" t="str">
        <f t="shared" si="6"/>
        <v/>
      </c>
      <c r="H143" s="133" t="str">
        <f t="shared" si="10"/>
        <v/>
      </c>
      <c r="I143" s="133" t="str">
        <f t="shared" si="7"/>
        <v/>
      </c>
      <c r="J143" s="133" t="str">
        <f t="shared" si="8"/>
        <v/>
      </c>
      <c r="K143" s="138" t="s">
        <v>278</v>
      </c>
      <c r="L143" s="136"/>
    </row>
    <row r="144">
      <c r="A144" s="134">
        <v>46165.0</v>
      </c>
      <c r="B144" s="133">
        <f t="shared" si="1"/>
        <v>7</v>
      </c>
      <c r="C144" s="133" t="str">
        <f t="shared" si="2"/>
        <v>sábado</v>
      </c>
      <c r="D144" s="133" t="str">
        <f t="shared" si="3"/>
        <v>nao</v>
      </c>
      <c r="E144" s="133" t="str">
        <f t="shared" si="4"/>
        <v/>
      </c>
      <c r="F144" s="133" t="str">
        <f t="shared" si="5"/>
        <v/>
      </c>
      <c r="G144" s="133" t="str">
        <f t="shared" si="6"/>
        <v/>
      </c>
      <c r="H144" s="133" t="str">
        <f t="shared" si="10"/>
        <v/>
      </c>
      <c r="I144" s="133" t="str">
        <f t="shared" si="7"/>
        <v/>
      </c>
      <c r="J144" s="133" t="str">
        <f t="shared" si="8"/>
        <v/>
      </c>
      <c r="K144" s="139" t="str">
        <f t="shared" ref="K144:K145" si="21">IF(AND(D144="sim",E144="sim",F144="",G144="",H144="",I144="",J144=""),"sim","nao")
</f>
        <v>nao</v>
      </c>
      <c r="L144" s="136"/>
    </row>
    <row r="145">
      <c r="A145" s="134">
        <v>46166.0</v>
      </c>
      <c r="B145" s="133">
        <f t="shared" si="1"/>
        <v>1</v>
      </c>
      <c r="C145" s="133" t="str">
        <f t="shared" si="2"/>
        <v>domingo</v>
      </c>
      <c r="D145" s="133" t="str">
        <f t="shared" si="3"/>
        <v>nao</v>
      </c>
      <c r="E145" s="133" t="str">
        <f t="shared" si="4"/>
        <v/>
      </c>
      <c r="F145" s="133" t="str">
        <f t="shared" si="5"/>
        <v/>
      </c>
      <c r="G145" s="133" t="str">
        <f t="shared" si="6"/>
        <v/>
      </c>
      <c r="H145" s="133" t="str">
        <f t="shared" si="10"/>
        <v/>
      </c>
      <c r="I145" s="133" t="str">
        <f t="shared" si="7"/>
        <v/>
      </c>
      <c r="J145" s="133" t="str">
        <f t="shared" si="8"/>
        <v/>
      </c>
      <c r="K145" s="139" t="str">
        <f t="shared" si="21"/>
        <v>nao</v>
      </c>
      <c r="L145" s="136"/>
    </row>
    <row r="146">
      <c r="A146" s="134">
        <v>46167.0</v>
      </c>
      <c r="B146" s="133">
        <f t="shared" si="1"/>
        <v>2</v>
      </c>
      <c r="C146" s="133" t="str">
        <f t="shared" si="2"/>
        <v>segunda-feira</v>
      </c>
      <c r="D146" s="133" t="str">
        <f t="shared" si="3"/>
        <v>sim</v>
      </c>
      <c r="E146" s="133" t="str">
        <f t="shared" si="4"/>
        <v/>
      </c>
      <c r="F146" s="133" t="str">
        <f t="shared" si="5"/>
        <v/>
      </c>
      <c r="G146" s="133" t="str">
        <f t="shared" si="6"/>
        <v/>
      </c>
      <c r="H146" s="133" t="str">
        <f t="shared" si="10"/>
        <v/>
      </c>
      <c r="I146" s="133" t="str">
        <f t="shared" si="7"/>
        <v/>
      </c>
      <c r="J146" s="133" t="str">
        <f t="shared" si="8"/>
        <v/>
      </c>
      <c r="K146" s="138" t="s">
        <v>278</v>
      </c>
      <c r="L146" s="136"/>
    </row>
    <row r="147">
      <c r="A147" s="134">
        <v>46168.0</v>
      </c>
      <c r="B147" s="133">
        <f t="shared" si="1"/>
        <v>3</v>
      </c>
      <c r="C147" s="133" t="str">
        <f t="shared" si="2"/>
        <v>terça-feira</v>
      </c>
      <c r="D147" s="133" t="str">
        <f t="shared" si="3"/>
        <v>sim</v>
      </c>
      <c r="E147" s="133" t="str">
        <f t="shared" si="4"/>
        <v/>
      </c>
      <c r="F147" s="133" t="str">
        <f t="shared" si="5"/>
        <v/>
      </c>
      <c r="G147" s="133" t="str">
        <f t="shared" si="6"/>
        <v/>
      </c>
      <c r="H147" s="133" t="str">
        <f t="shared" si="10"/>
        <v/>
      </c>
      <c r="I147" s="133" t="str">
        <f t="shared" si="7"/>
        <v/>
      </c>
      <c r="J147" s="133" t="str">
        <f t="shared" si="8"/>
        <v/>
      </c>
      <c r="K147" s="138" t="s">
        <v>278</v>
      </c>
      <c r="L147" s="136"/>
    </row>
    <row r="148">
      <c r="A148" s="134">
        <v>46169.0</v>
      </c>
      <c r="B148" s="133">
        <f t="shared" si="1"/>
        <v>4</v>
      </c>
      <c r="C148" s="133" t="str">
        <f t="shared" si="2"/>
        <v>quarta-feira</v>
      </c>
      <c r="D148" s="133" t="str">
        <f t="shared" si="3"/>
        <v>sim</v>
      </c>
      <c r="E148" s="133" t="str">
        <f t="shared" si="4"/>
        <v/>
      </c>
      <c r="F148" s="133" t="str">
        <f t="shared" si="5"/>
        <v/>
      </c>
      <c r="G148" s="133" t="str">
        <f t="shared" si="6"/>
        <v/>
      </c>
      <c r="H148" s="133" t="str">
        <f t="shared" si="10"/>
        <v/>
      </c>
      <c r="I148" s="133" t="str">
        <f t="shared" si="7"/>
        <v/>
      </c>
      <c r="J148" s="133" t="str">
        <f t="shared" si="8"/>
        <v/>
      </c>
      <c r="K148" s="138" t="s">
        <v>278</v>
      </c>
      <c r="L148" s="136"/>
    </row>
    <row r="149">
      <c r="A149" s="134">
        <v>46170.0</v>
      </c>
      <c r="B149" s="133">
        <f t="shared" si="1"/>
        <v>5</v>
      </c>
      <c r="C149" s="133" t="str">
        <f t="shared" si="2"/>
        <v>quinta-feira</v>
      </c>
      <c r="D149" s="133" t="str">
        <f t="shared" si="3"/>
        <v>sim</v>
      </c>
      <c r="E149" s="133" t="str">
        <f t="shared" si="4"/>
        <v/>
      </c>
      <c r="F149" s="133" t="str">
        <f t="shared" si="5"/>
        <v/>
      </c>
      <c r="G149" s="133" t="str">
        <f t="shared" si="6"/>
        <v/>
      </c>
      <c r="H149" s="133" t="str">
        <f t="shared" si="10"/>
        <v/>
      </c>
      <c r="I149" s="133" t="str">
        <f t="shared" si="7"/>
        <v/>
      </c>
      <c r="J149" s="133" t="str">
        <f t="shared" si="8"/>
        <v/>
      </c>
      <c r="K149" s="138" t="s">
        <v>278</v>
      </c>
      <c r="L149" s="136"/>
    </row>
    <row r="150">
      <c r="A150" s="134">
        <v>46171.0</v>
      </c>
      <c r="B150" s="133">
        <f t="shared" si="1"/>
        <v>6</v>
      </c>
      <c r="C150" s="133" t="str">
        <f t="shared" si="2"/>
        <v>sexta-feira</v>
      </c>
      <c r="D150" s="133" t="str">
        <f t="shared" si="3"/>
        <v>sim</v>
      </c>
      <c r="E150" s="133" t="str">
        <f t="shared" si="4"/>
        <v/>
      </c>
      <c r="F150" s="133" t="str">
        <f t="shared" si="5"/>
        <v/>
      </c>
      <c r="G150" s="133" t="str">
        <f t="shared" si="6"/>
        <v/>
      </c>
      <c r="H150" s="133" t="str">
        <f t="shared" si="10"/>
        <v/>
      </c>
      <c r="I150" s="133" t="str">
        <f t="shared" si="7"/>
        <v/>
      </c>
      <c r="J150" s="133" t="str">
        <f t="shared" si="8"/>
        <v/>
      </c>
      <c r="K150" s="138" t="s">
        <v>278</v>
      </c>
      <c r="L150" s="136"/>
    </row>
    <row r="151">
      <c r="A151" s="134">
        <v>46172.0</v>
      </c>
      <c r="B151" s="133">
        <f t="shared" si="1"/>
        <v>7</v>
      </c>
      <c r="C151" s="133" t="str">
        <f t="shared" si="2"/>
        <v>sábado</v>
      </c>
      <c r="D151" s="133" t="str">
        <f t="shared" si="3"/>
        <v>nao</v>
      </c>
      <c r="E151" s="133" t="str">
        <f t="shared" si="4"/>
        <v/>
      </c>
      <c r="F151" s="133" t="str">
        <f t="shared" si="5"/>
        <v/>
      </c>
      <c r="G151" s="133" t="str">
        <f t="shared" si="6"/>
        <v/>
      </c>
      <c r="H151" s="133" t="str">
        <f t="shared" si="10"/>
        <v/>
      </c>
      <c r="I151" s="133" t="str">
        <f t="shared" si="7"/>
        <v/>
      </c>
      <c r="J151" s="133" t="str">
        <f t="shared" si="8"/>
        <v/>
      </c>
      <c r="K151" s="139" t="str">
        <f t="shared" ref="K151:K152" si="22">IF(AND(D151="sim",E151="sim",F151="",G151="",H151="",I151="",J151=""),"sim","nao")
</f>
        <v>nao</v>
      </c>
      <c r="L151" s="136"/>
    </row>
    <row r="152">
      <c r="A152" s="134">
        <v>46173.0</v>
      </c>
      <c r="B152" s="133">
        <f t="shared" si="1"/>
        <v>1</v>
      </c>
      <c r="C152" s="133" t="str">
        <f t="shared" si="2"/>
        <v>domingo</v>
      </c>
      <c r="D152" s="133" t="str">
        <f t="shared" si="3"/>
        <v>nao</v>
      </c>
      <c r="E152" s="133" t="str">
        <f t="shared" si="4"/>
        <v/>
      </c>
      <c r="F152" s="133" t="str">
        <f t="shared" si="5"/>
        <v/>
      </c>
      <c r="G152" s="133" t="str">
        <f t="shared" si="6"/>
        <v/>
      </c>
      <c r="H152" s="133" t="str">
        <f t="shared" si="10"/>
        <v/>
      </c>
      <c r="I152" s="133" t="str">
        <f t="shared" si="7"/>
        <v/>
      </c>
      <c r="J152" s="133" t="str">
        <f t="shared" si="8"/>
        <v/>
      </c>
      <c r="K152" s="139" t="str">
        <f t="shared" si="22"/>
        <v>nao</v>
      </c>
      <c r="L152" s="136"/>
    </row>
    <row r="153">
      <c r="A153" s="134">
        <v>46174.0</v>
      </c>
      <c r="B153" s="133">
        <f t="shared" si="1"/>
        <v>2</v>
      </c>
      <c r="C153" s="133" t="str">
        <f t="shared" si="2"/>
        <v>segunda-feira</v>
      </c>
      <c r="D153" s="133" t="str">
        <f t="shared" si="3"/>
        <v>sim</v>
      </c>
      <c r="E153" s="133" t="str">
        <f t="shared" si="4"/>
        <v/>
      </c>
      <c r="F153" s="133" t="str">
        <f t="shared" si="5"/>
        <v/>
      </c>
      <c r="G153" s="133" t="str">
        <f t="shared" si="6"/>
        <v/>
      </c>
      <c r="H153" s="133" t="str">
        <f t="shared" si="10"/>
        <v/>
      </c>
      <c r="I153" s="133" t="str">
        <f t="shared" si="7"/>
        <v/>
      </c>
      <c r="J153" s="133" t="str">
        <f t="shared" si="8"/>
        <v/>
      </c>
      <c r="K153" s="138" t="s">
        <v>278</v>
      </c>
      <c r="L153" s="136"/>
    </row>
    <row r="154">
      <c r="A154" s="134">
        <v>46175.0</v>
      </c>
      <c r="B154" s="133">
        <f t="shared" si="1"/>
        <v>3</v>
      </c>
      <c r="C154" s="133" t="str">
        <f t="shared" si="2"/>
        <v>terça-feira</v>
      </c>
      <c r="D154" s="133" t="str">
        <f t="shared" si="3"/>
        <v>sim</v>
      </c>
      <c r="E154" s="133" t="str">
        <f t="shared" si="4"/>
        <v/>
      </c>
      <c r="F154" s="133" t="str">
        <f t="shared" si="5"/>
        <v/>
      </c>
      <c r="G154" s="133" t="str">
        <f t="shared" si="6"/>
        <v/>
      </c>
      <c r="H154" s="133" t="str">
        <f t="shared" si="10"/>
        <v/>
      </c>
      <c r="I154" s="133" t="str">
        <f t="shared" si="7"/>
        <v/>
      </c>
      <c r="J154" s="133" t="str">
        <f t="shared" si="8"/>
        <v/>
      </c>
      <c r="K154" s="138" t="s">
        <v>278</v>
      </c>
      <c r="L154" s="136"/>
    </row>
    <row r="155">
      <c r="A155" s="134">
        <v>46176.0</v>
      </c>
      <c r="B155" s="133">
        <f t="shared" si="1"/>
        <v>4</v>
      </c>
      <c r="C155" s="133" t="str">
        <f t="shared" si="2"/>
        <v>quarta-feira</v>
      </c>
      <c r="D155" s="133" t="str">
        <f t="shared" si="3"/>
        <v>sim</v>
      </c>
      <c r="E155" s="133" t="str">
        <f t="shared" si="4"/>
        <v/>
      </c>
      <c r="F155" s="133" t="str">
        <f t="shared" si="5"/>
        <v/>
      </c>
      <c r="G155" s="133" t="str">
        <f t="shared" si="6"/>
        <v/>
      </c>
      <c r="H155" s="133" t="str">
        <f t="shared" si="10"/>
        <v/>
      </c>
      <c r="I155" s="133" t="str">
        <f t="shared" si="7"/>
        <v/>
      </c>
      <c r="J155" s="133" t="str">
        <f t="shared" si="8"/>
        <v/>
      </c>
      <c r="K155" s="138" t="s">
        <v>278</v>
      </c>
      <c r="L155" s="136"/>
    </row>
    <row r="156">
      <c r="A156" s="134">
        <v>46177.0</v>
      </c>
      <c r="B156" s="133">
        <f t="shared" si="1"/>
        <v>5</v>
      </c>
      <c r="C156" s="133" t="str">
        <f t="shared" si="2"/>
        <v>quinta-feira</v>
      </c>
      <c r="D156" s="133" t="str">
        <f t="shared" si="3"/>
        <v>sim</v>
      </c>
      <c r="E156" s="133" t="str">
        <f t="shared" si="4"/>
        <v/>
      </c>
      <c r="F156" s="133" t="str">
        <f t="shared" si="5"/>
        <v>sim</v>
      </c>
      <c r="G156" s="133" t="str">
        <f t="shared" si="6"/>
        <v>sim</v>
      </c>
      <c r="H156" s="133" t="str">
        <f t="shared" si="10"/>
        <v/>
      </c>
      <c r="I156" s="133" t="str">
        <f t="shared" si="7"/>
        <v/>
      </c>
      <c r="J156" s="133" t="str">
        <f t="shared" si="8"/>
        <v/>
      </c>
      <c r="K156" s="139" t="str">
        <f>IF(AND(D156="sim",E156="sim",F156="",G156="",H156="",I156="",J156=""),"sim","nao")
</f>
        <v>nao</v>
      </c>
      <c r="L156" s="136"/>
    </row>
    <row r="157">
      <c r="A157" s="134">
        <v>46178.0</v>
      </c>
      <c r="B157" s="133">
        <f t="shared" si="1"/>
        <v>6</v>
      </c>
      <c r="C157" s="133" t="str">
        <f t="shared" si="2"/>
        <v>sexta-feira</v>
      </c>
      <c r="D157" s="133" t="str">
        <f t="shared" si="3"/>
        <v>sim</v>
      </c>
      <c r="E157" s="133" t="str">
        <f t="shared" si="4"/>
        <v/>
      </c>
      <c r="F157" s="133" t="str">
        <f t="shared" si="5"/>
        <v/>
      </c>
      <c r="G157" s="133" t="str">
        <f t="shared" si="6"/>
        <v/>
      </c>
      <c r="H157" s="133" t="str">
        <f t="shared" si="10"/>
        <v/>
      </c>
      <c r="I157" s="133" t="str">
        <f t="shared" si="7"/>
        <v/>
      </c>
      <c r="J157" s="133" t="str">
        <f t="shared" si="8"/>
        <v/>
      </c>
      <c r="K157" s="138" t="s">
        <v>278</v>
      </c>
      <c r="L157" s="136"/>
    </row>
    <row r="158">
      <c r="A158" s="134">
        <v>46179.0</v>
      </c>
      <c r="B158" s="133">
        <f t="shared" si="1"/>
        <v>7</v>
      </c>
      <c r="C158" s="133" t="str">
        <f t="shared" si="2"/>
        <v>sábado</v>
      </c>
      <c r="D158" s="133" t="str">
        <f t="shared" si="3"/>
        <v>nao</v>
      </c>
      <c r="E158" s="133" t="str">
        <f t="shared" si="4"/>
        <v>sim</v>
      </c>
      <c r="F158" s="133" t="str">
        <f t="shared" si="5"/>
        <v/>
      </c>
      <c r="G158" s="133" t="str">
        <f t="shared" si="6"/>
        <v/>
      </c>
      <c r="H158" s="133" t="str">
        <f t="shared" si="10"/>
        <v/>
      </c>
      <c r="I158" s="133" t="str">
        <f t="shared" si="7"/>
        <v/>
      </c>
      <c r="J158" s="133" t="str">
        <f t="shared" si="8"/>
        <v/>
      </c>
      <c r="K158" s="138" t="s">
        <v>278</v>
      </c>
      <c r="L158" s="136"/>
    </row>
    <row r="159">
      <c r="A159" s="134">
        <v>46180.0</v>
      </c>
      <c r="B159" s="133">
        <f t="shared" si="1"/>
        <v>1</v>
      </c>
      <c r="C159" s="133" t="str">
        <f t="shared" si="2"/>
        <v>domingo</v>
      </c>
      <c r="D159" s="133" t="str">
        <f t="shared" si="3"/>
        <v>nao</v>
      </c>
      <c r="E159" s="133" t="str">
        <f t="shared" si="4"/>
        <v/>
      </c>
      <c r="F159" s="133" t="str">
        <f t="shared" si="5"/>
        <v/>
      </c>
      <c r="G159" s="133" t="str">
        <f t="shared" si="6"/>
        <v/>
      </c>
      <c r="H159" s="133" t="str">
        <f t="shared" si="10"/>
        <v/>
      </c>
      <c r="I159" s="133" t="str">
        <f t="shared" si="7"/>
        <v/>
      </c>
      <c r="J159" s="133" t="str">
        <f t="shared" si="8"/>
        <v/>
      </c>
      <c r="K159" s="139" t="str">
        <f>IF(AND(D159="sim",E159="sim",F159="",G159="",H159="",I159="",J159=""),"sim","nao")
</f>
        <v>nao</v>
      </c>
      <c r="L159" s="136"/>
    </row>
    <row r="160">
      <c r="A160" s="134">
        <v>46181.0</v>
      </c>
      <c r="B160" s="133">
        <f t="shared" si="1"/>
        <v>2</v>
      </c>
      <c r="C160" s="133" t="str">
        <f t="shared" si="2"/>
        <v>segunda-feira</v>
      </c>
      <c r="D160" s="133" t="str">
        <f t="shared" si="3"/>
        <v>sim</v>
      </c>
      <c r="E160" s="133" t="str">
        <f t="shared" si="4"/>
        <v/>
      </c>
      <c r="F160" s="133" t="str">
        <f t="shared" si="5"/>
        <v/>
      </c>
      <c r="G160" s="133" t="str">
        <f t="shared" si="6"/>
        <v/>
      </c>
      <c r="H160" s="133" t="str">
        <f t="shared" si="10"/>
        <v/>
      </c>
      <c r="I160" s="133" t="str">
        <f t="shared" si="7"/>
        <v/>
      </c>
      <c r="J160" s="133" t="str">
        <f t="shared" si="8"/>
        <v/>
      </c>
      <c r="K160" s="138" t="s">
        <v>278</v>
      </c>
      <c r="L160" s="136"/>
    </row>
    <row r="161">
      <c r="A161" s="134">
        <v>46182.0</v>
      </c>
      <c r="B161" s="133">
        <f t="shared" si="1"/>
        <v>3</v>
      </c>
      <c r="C161" s="133" t="str">
        <f t="shared" si="2"/>
        <v>terça-feira</v>
      </c>
      <c r="D161" s="133" t="str">
        <f t="shared" si="3"/>
        <v>sim</v>
      </c>
      <c r="E161" s="133" t="str">
        <f t="shared" si="4"/>
        <v/>
      </c>
      <c r="F161" s="133" t="str">
        <f t="shared" si="5"/>
        <v/>
      </c>
      <c r="G161" s="133" t="str">
        <f t="shared" si="6"/>
        <v/>
      </c>
      <c r="H161" s="133" t="str">
        <f t="shared" si="10"/>
        <v/>
      </c>
      <c r="I161" s="133" t="str">
        <f t="shared" si="7"/>
        <v/>
      </c>
      <c r="J161" s="133" t="str">
        <f t="shared" si="8"/>
        <v/>
      </c>
      <c r="K161" s="138" t="s">
        <v>278</v>
      </c>
      <c r="L161" s="136"/>
    </row>
    <row r="162">
      <c r="A162" s="134">
        <v>46183.0</v>
      </c>
      <c r="B162" s="133">
        <f t="shared" si="1"/>
        <v>4</v>
      </c>
      <c r="C162" s="133" t="str">
        <f t="shared" si="2"/>
        <v>quarta-feira</v>
      </c>
      <c r="D162" s="133" t="str">
        <f t="shared" si="3"/>
        <v>sim</v>
      </c>
      <c r="E162" s="133" t="str">
        <f t="shared" si="4"/>
        <v/>
      </c>
      <c r="F162" s="133" t="str">
        <f t="shared" si="5"/>
        <v/>
      </c>
      <c r="G162" s="133" t="str">
        <f t="shared" si="6"/>
        <v/>
      </c>
      <c r="H162" s="133" t="str">
        <f t="shared" si="10"/>
        <v/>
      </c>
      <c r="I162" s="133" t="str">
        <f t="shared" si="7"/>
        <v/>
      </c>
      <c r="J162" s="133" t="str">
        <f t="shared" si="8"/>
        <v/>
      </c>
      <c r="K162" s="138" t="s">
        <v>278</v>
      </c>
      <c r="L162" s="136"/>
    </row>
    <row r="163">
      <c r="A163" s="134">
        <v>46184.0</v>
      </c>
      <c r="B163" s="133">
        <f t="shared" si="1"/>
        <v>5</v>
      </c>
      <c r="C163" s="133" t="str">
        <f t="shared" si="2"/>
        <v>quinta-feira</v>
      </c>
      <c r="D163" s="133" t="str">
        <f t="shared" si="3"/>
        <v>sim</v>
      </c>
      <c r="E163" s="133" t="str">
        <f t="shared" si="4"/>
        <v/>
      </c>
      <c r="F163" s="133" t="str">
        <f t="shared" si="5"/>
        <v/>
      </c>
      <c r="G163" s="133" t="str">
        <f t="shared" si="6"/>
        <v/>
      </c>
      <c r="H163" s="133" t="str">
        <f t="shared" si="10"/>
        <v/>
      </c>
      <c r="I163" s="133" t="str">
        <f t="shared" si="7"/>
        <v/>
      </c>
      <c r="J163" s="133" t="str">
        <f t="shared" si="8"/>
        <v/>
      </c>
      <c r="K163" s="138" t="s">
        <v>278</v>
      </c>
      <c r="L163" s="136"/>
    </row>
    <row r="164">
      <c r="A164" s="134">
        <v>46185.0</v>
      </c>
      <c r="B164" s="133">
        <f t="shared" si="1"/>
        <v>6</v>
      </c>
      <c r="C164" s="133" t="str">
        <f t="shared" si="2"/>
        <v>sexta-feira</v>
      </c>
      <c r="D164" s="133" t="str">
        <f t="shared" si="3"/>
        <v>sim</v>
      </c>
      <c r="E164" s="133" t="str">
        <f t="shared" si="4"/>
        <v/>
      </c>
      <c r="F164" s="133" t="str">
        <f t="shared" si="5"/>
        <v/>
      </c>
      <c r="G164" s="133" t="str">
        <f t="shared" si="6"/>
        <v/>
      </c>
      <c r="H164" s="133" t="str">
        <f t="shared" si="10"/>
        <v/>
      </c>
      <c r="I164" s="133" t="str">
        <f t="shared" si="7"/>
        <v/>
      </c>
      <c r="J164" s="133" t="str">
        <f t="shared" si="8"/>
        <v/>
      </c>
      <c r="K164" s="138" t="s">
        <v>278</v>
      </c>
      <c r="L164" s="136"/>
    </row>
    <row r="165">
      <c r="A165" s="134">
        <v>46186.0</v>
      </c>
      <c r="B165" s="133">
        <f t="shared" si="1"/>
        <v>7</v>
      </c>
      <c r="C165" s="133" t="str">
        <f t="shared" si="2"/>
        <v>sábado</v>
      </c>
      <c r="D165" s="133" t="str">
        <f t="shared" si="3"/>
        <v>nao</v>
      </c>
      <c r="E165" s="133" t="str">
        <f t="shared" si="4"/>
        <v/>
      </c>
      <c r="F165" s="133" t="str">
        <f t="shared" si="5"/>
        <v/>
      </c>
      <c r="G165" s="133" t="str">
        <f t="shared" si="6"/>
        <v/>
      </c>
      <c r="H165" s="133" t="str">
        <f t="shared" si="10"/>
        <v/>
      </c>
      <c r="I165" s="133" t="str">
        <f t="shared" si="7"/>
        <v/>
      </c>
      <c r="J165" s="133" t="str">
        <f t="shared" si="8"/>
        <v/>
      </c>
      <c r="K165" s="139" t="str">
        <f t="shared" ref="K165:K166" si="23">IF(AND(D165="sim",E165="sim",F165="",G165="",H165="",I165="",J165=""),"sim","nao")
</f>
        <v>nao</v>
      </c>
      <c r="L165" s="136"/>
    </row>
    <row r="166">
      <c r="A166" s="134">
        <v>46187.0</v>
      </c>
      <c r="B166" s="133">
        <f t="shared" si="1"/>
        <v>1</v>
      </c>
      <c r="C166" s="133" t="str">
        <f t="shared" si="2"/>
        <v>domingo</v>
      </c>
      <c r="D166" s="133" t="str">
        <f t="shared" si="3"/>
        <v>nao</v>
      </c>
      <c r="E166" s="133" t="str">
        <f t="shared" si="4"/>
        <v/>
      </c>
      <c r="F166" s="133" t="str">
        <f t="shared" si="5"/>
        <v/>
      </c>
      <c r="G166" s="133" t="str">
        <f t="shared" si="6"/>
        <v/>
      </c>
      <c r="H166" s="133" t="str">
        <f t="shared" si="10"/>
        <v/>
      </c>
      <c r="I166" s="133" t="str">
        <f t="shared" si="7"/>
        <v/>
      </c>
      <c r="J166" s="133" t="str">
        <f t="shared" si="8"/>
        <v/>
      </c>
      <c r="K166" s="139" t="str">
        <f t="shared" si="23"/>
        <v>nao</v>
      </c>
      <c r="L166" s="136"/>
    </row>
    <row r="167">
      <c r="A167" s="134">
        <v>46188.0</v>
      </c>
      <c r="B167" s="133">
        <f t="shared" si="1"/>
        <v>2</v>
      </c>
      <c r="C167" s="133" t="str">
        <f t="shared" si="2"/>
        <v>segunda-feira</v>
      </c>
      <c r="D167" s="133" t="str">
        <f t="shared" si="3"/>
        <v>sim</v>
      </c>
      <c r="E167" s="133" t="str">
        <f t="shared" si="4"/>
        <v/>
      </c>
      <c r="F167" s="133" t="str">
        <f t="shared" si="5"/>
        <v/>
      </c>
      <c r="G167" s="133" t="str">
        <f t="shared" si="6"/>
        <v/>
      </c>
      <c r="H167" s="133" t="str">
        <f t="shared" si="10"/>
        <v/>
      </c>
      <c r="I167" s="133" t="str">
        <f t="shared" si="7"/>
        <v/>
      </c>
      <c r="J167" s="133" t="str">
        <f t="shared" si="8"/>
        <v/>
      </c>
      <c r="K167" s="138" t="s">
        <v>278</v>
      </c>
      <c r="L167" s="136"/>
    </row>
    <row r="168">
      <c r="A168" s="134">
        <v>46189.0</v>
      </c>
      <c r="B168" s="133">
        <f t="shared" si="1"/>
        <v>3</v>
      </c>
      <c r="C168" s="133" t="str">
        <f t="shared" si="2"/>
        <v>terça-feira</v>
      </c>
      <c r="D168" s="133" t="str">
        <f t="shared" si="3"/>
        <v>sim</v>
      </c>
      <c r="E168" s="133" t="str">
        <f t="shared" si="4"/>
        <v/>
      </c>
      <c r="F168" s="133" t="str">
        <f t="shared" si="5"/>
        <v/>
      </c>
      <c r="G168" s="133" t="str">
        <f t="shared" si="6"/>
        <v/>
      </c>
      <c r="H168" s="133" t="str">
        <f t="shared" si="10"/>
        <v/>
      </c>
      <c r="I168" s="133" t="str">
        <f t="shared" si="7"/>
        <v/>
      </c>
      <c r="J168" s="133" t="str">
        <f t="shared" si="8"/>
        <v/>
      </c>
      <c r="K168" s="138" t="s">
        <v>278</v>
      </c>
      <c r="L168" s="136"/>
    </row>
    <row r="169">
      <c r="A169" s="134">
        <v>46190.0</v>
      </c>
      <c r="B169" s="133">
        <f t="shared" si="1"/>
        <v>4</v>
      </c>
      <c r="C169" s="133" t="str">
        <f t="shared" si="2"/>
        <v>quarta-feira</v>
      </c>
      <c r="D169" s="133" t="str">
        <f t="shared" si="3"/>
        <v>sim</v>
      </c>
      <c r="E169" s="133" t="str">
        <f t="shared" si="4"/>
        <v/>
      </c>
      <c r="F169" s="133" t="str">
        <f t="shared" si="5"/>
        <v/>
      </c>
      <c r="G169" s="133" t="str">
        <f t="shared" si="6"/>
        <v/>
      </c>
      <c r="H169" s="133" t="str">
        <f t="shared" si="10"/>
        <v/>
      </c>
      <c r="I169" s="133" t="str">
        <f t="shared" si="7"/>
        <v/>
      </c>
      <c r="J169" s="133" t="str">
        <f t="shared" si="8"/>
        <v/>
      </c>
      <c r="K169" s="138" t="s">
        <v>278</v>
      </c>
      <c r="L169" s="136"/>
    </row>
    <row r="170">
      <c r="A170" s="134">
        <v>46191.0</v>
      </c>
      <c r="B170" s="133">
        <f t="shared" si="1"/>
        <v>5</v>
      </c>
      <c r="C170" s="133" t="str">
        <f t="shared" si="2"/>
        <v>quinta-feira</v>
      </c>
      <c r="D170" s="133" t="str">
        <f t="shared" si="3"/>
        <v>sim</v>
      </c>
      <c r="E170" s="133" t="str">
        <f t="shared" si="4"/>
        <v/>
      </c>
      <c r="F170" s="133" t="str">
        <f t="shared" si="5"/>
        <v/>
      </c>
      <c r="G170" s="133" t="str">
        <f t="shared" si="6"/>
        <v/>
      </c>
      <c r="H170" s="133" t="str">
        <f t="shared" si="10"/>
        <v/>
      </c>
      <c r="I170" s="133" t="str">
        <f t="shared" si="7"/>
        <v/>
      </c>
      <c r="J170" s="133" t="str">
        <f t="shared" si="8"/>
        <v/>
      </c>
      <c r="K170" s="138" t="s">
        <v>278</v>
      </c>
      <c r="L170" s="136"/>
    </row>
    <row r="171">
      <c r="A171" s="134">
        <v>46192.0</v>
      </c>
      <c r="B171" s="133">
        <f t="shared" si="1"/>
        <v>6</v>
      </c>
      <c r="C171" s="133" t="str">
        <f t="shared" si="2"/>
        <v>sexta-feira</v>
      </c>
      <c r="D171" s="133" t="str">
        <f t="shared" si="3"/>
        <v>sim</v>
      </c>
      <c r="E171" s="133" t="str">
        <f t="shared" si="4"/>
        <v/>
      </c>
      <c r="F171" s="133" t="str">
        <f t="shared" si="5"/>
        <v/>
      </c>
      <c r="G171" s="133" t="str">
        <f t="shared" si="6"/>
        <v/>
      </c>
      <c r="H171" s="133" t="str">
        <f t="shared" si="10"/>
        <v/>
      </c>
      <c r="I171" s="133" t="str">
        <f t="shared" si="7"/>
        <v/>
      </c>
      <c r="J171" s="133" t="str">
        <f t="shared" si="8"/>
        <v/>
      </c>
      <c r="K171" s="138" t="s">
        <v>278</v>
      </c>
      <c r="L171" s="136"/>
    </row>
    <row r="172">
      <c r="A172" s="134">
        <v>46193.0</v>
      </c>
      <c r="B172" s="133">
        <f t="shared" si="1"/>
        <v>7</v>
      </c>
      <c r="C172" s="133" t="str">
        <f t="shared" si="2"/>
        <v>sábado</v>
      </c>
      <c r="D172" s="133" t="str">
        <f t="shared" si="3"/>
        <v>nao</v>
      </c>
      <c r="E172" s="133" t="str">
        <f t="shared" si="4"/>
        <v/>
      </c>
      <c r="F172" s="133" t="str">
        <f t="shared" si="5"/>
        <v/>
      </c>
      <c r="G172" s="133" t="str">
        <f t="shared" si="6"/>
        <v/>
      </c>
      <c r="H172" s="133" t="str">
        <f t="shared" si="10"/>
        <v/>
      </c>
      <c r="I172" s="133" t="str">
        <f t="shared" si="7"/>
        <v/>
      </c>
      <c r="J172" s="133" t="str">
        <f t="shared" si="8"/>
        <v/>
      </c>
      <c r="K172" s="139" t="str">
        <f t="shared" ref="K172:K187" si="24">IF(AND(D172="sim",E172="sim",F172="",G172="",H172="",I172="",J172=""),"sim","nao")
</f>
        <v>nao</v>
      </c>
      <c r="L172" s="136"/>
    </row>
    <row r="173">
      <c r="A173" s="134">
        <v>46194.0</v>
      </c>
      <c r="B173" s="133">
        <f t="shared" si="1"/>
        <v>1</v>
      </c>
      <c r="C173" s="133" t="str">
        <f t="shared" si="2"/>
        <v>domingo</v>
      </c>
      <c r="D173" s="133" t="str">
        <f t="shared" si="3"/>
        <v>nao</v>
      </c>
      <c r="E173" s="133" t="str">
        <f t="shared" si="4"/>
        <v/>
      </c>
      <c r="F173" s="133" t="str">
        <f t="shared" si="5"/>
        <v/>
      </c>
      <c r="G173" s="133" t="str">
        <f t="shared" si="6"/>
        <v/>
      </c>
      <c r="H173" s="133" t="str">
        <f t="shared" si="10"/>
        <v/>
      </c>
      <c r="I173" s="133" t="str">
        <f t="shared" si="7"/>
        <v/>
      </c>
      <c r="J173" s="133" t="str">
        <f t="shared" si="8"/>
        <v/>
      </c>
      <c r="K173" s="139" t="str">
        <f t="shared" si="24"/>
        <v>nao</v>
      </c>
      <c r="L173" s="136"/>
    </row>
    <row r="174">
      <c r="A174" s="134">
        <v>46195.0</v>
      </c>
      <c r="B174" s="133">
        <f t="shared" si="1"/>
        <v>2</v>
      </c>
      <c r="C174" s="133" t="str">
        <f t="shared" si="2"/>
        <v>segunda-feira</v>
      </c>
      <c r="D174" s="133" t="str">
        <f t="shared" si="3"/>
        <v>sim</v>
      </c>
      <c r="E174" s="133" t="str">
        <f t="shared" si="4"/>
        <v/>
      </c>
      <c r="F174" s="133" t="str">
        <f t="shared" si="5"/>
        <v/>
      </c>
      <c r="G174" s="133" t="str">
        <f t="shared" si="6"/>
        <v/>
      </c>
      <c r="H174" s="133" t="str">
        <f t="shared" si="10"/>
        <v>sim</v>
      </c>
      <c r="I174" s="133" t="str">
        <f t="shared" si="7"/>
        <v/>
      </c>
      <c r="J174" s="133" t="str">
        <f t="shared" si="8"/>
        <v/>
      </c>
      <c r="K174" s="139" t="str">
        <f t="shared" si="24"/>
        <v>nao</v>
      </c>
      <c r="L174" s="136"/>
    </row>
    <row r="175">
      <c r="A175" s="134">
        <v>46196.0</v>
      </c>
      <c r="B175" s="133">
        <f t="shared" si="1"/>
        <v>3</v>
      </c>
      <c r="C175" s="133" t="str">
        <f t="shared" si="2"/>
        <v>terça-feira</v>
      </c>
      <c r="D175" s="133" t="str">
        <f t="shared" si="3"/>
        <v>sim</v>
      </c>
      <c r="E175" s="133" t="str">
        <f t="shared" si="4"/>
        <v/>
      </c>
      <c r="F175" s="133" t="str">
        <f t="shared" si="5"/>
        <v/>
      </c>
      <c r="G175" s="133" t="str">
        <f t="shared" si="6"/>
        <v/>
      </c>
      <c r="H175" s="133" t="str">
        <f t="shared" si="10"/>
        <v>sim</v>
      </c>
      <c r="I175" s="133" t="str">
        <f t="shared" si="7"/>
        <v/>
      </c>
      <c r="J175" s="133" t="str">
        <f t="shared" si="8"/>
        <v/>
      </c>
      <c r="K175" s="139" t="str">
        <f t="shared" si="24"/>
        <v>nao</v>
      </c>
      <c r="L175" s="136"/>
    </row>
    <row r="176">
      <c r="A176" s="134">
        <v>46197.0</v>
      </c>
      <c r="B176" s="133">
        <f t="shared" si="1"/>
        <v>4</v>
      </c>
      <c r="C176" s="133" t="str">
        <f t="shared" si="2"/>
        <v>quarta-feira</v>
      </c>
      <c r="D176" s="133" t="str">
        <f t="shared" si="3"/>
        <v>sim</v>
      </c>
      <c r="E176" s="133" t="str">
        <f t="shared" si="4"/>
        <v/>
      </c>
      <c r="F176" s="133" t="str">
        <f t="shared" si="5"/>
        <v/>
      </c>
      <c r="G176" s="133" t="str">
        <f t="shared" si="6"/>
        <v/>
      </c>
      <c r="H176" s="133" t="str">
        <f t="shared" si="10"/>
        <v>sim</v>
      </c>
      <c r="I176" s="133" t="str">
        <f t="shared" si="7"/>
        <v/>
      </c>
      <c r="J176" s="133" t="str">
        <f t="shared" si="8"/>
        <v/>
      </c>
      <c r="K176" s="139" t="str">
        <f t="shared" si="24"/>
        <v>nao</v>
      </c>
      <c r="L176" s="136"/>
    </row>
    <row r="177">
      <c r="A177" s="134">
        <v>46198.0</v>
      </c>
      <c r="B177" s="133">
        <f t="shared" si="1"/>
        <v>5</v>
      </c>
      <c r="C177" s="133" t="str">
        <f t="shared" si="2"/>
        <v>quinta-feira</v>
      </c>
      <c r="D177" s="133" t="str">
        <f t="shared" si="3"/>
        <v>sim</v>
      </c>
      <c r="E177" s="133" t="str">
        <f t="shared" si="4"/>
        <v/>
      </c>
      <c r="F177" s="133" t="str">
        <f t="shared" si="5"/>
        <v/>
      </c>
      <c r="G177" s="133" t="str">
        <f t="shared" si="6"/>
        <v/>
      </c>
      <c r="H177" s="133" t="str">
        <f t="shared" si="10"/>
        <v>sim</v>
      </c>
      <c r="I177" s="133" t="str">
        <f t="shared" si="7"/>
        <v/>
      </c>
      <c r="J177" s="133" t="str">
        <f t="shared" si="8"/>
        <v/>
      </c>
      <c r="K177" s="139" t="str">
        <f t="shared" si="24"/>
        <v>nao</v>
      </c>
      <c r="L177" s="136"/>
    </row>
    <row r="178">
      <c r="A178" s="134">
        <v>46199.0</v>
      </c>
      <c r="B178" s="133">
        <f t="shared" si="1"/>
        <v>6</v>
      </c>
      <c r="C178" s="133" t="str">
        <f t="shared" si="2"/>
        <v>sexta-feira</v>
      </c>
      <c r="D178" s="133" t="str">
        <f t="shared" si="3"/>
        <v>sim</v>
      </c>
      <c r="E178" s="133" t="str">
        <f t="shared" si="4"/>
        <v/>
      </c>
      <c r="F178" s="133" t="str">
        <f t="shared" si="5"/>
        <v/>
      </c>
      <c r="G178" s="133" t="str">
        <f t="shared" si="6"/>
        <v/>
      </c>
      <c r="H178" s="133" t="str">
        <f t="shared" si="10"/>
        <v>sim</v>
      </c>
      <c r="I178" s="133" t="str">
        <f t="shared" si="7"/>
        <v/>
      </c>
      <c r="J178" s="133" t="str">
        <f t="shared" si="8"/>
        <v/>
      </c>
      <c r="K178" s="139" t="str">
        <f t="shared" si="24"/>
        <v>nao</v>
      </c>
      <c r="L178" s="136"/>
    </row>
    <row r="179">
      <c r="A179" s="134">
        <v>46200.0</v>
      </c>
      <c r="B179" s="133">
        <f t="shared" si="1"/>
        <v>7</v>
      </c>
      <c r="C179" s="133" t="str">
        <f t="shared" si="2"/>
        <v>sábado</v>
      </c>
      <c r="D179" s="133" t="str">
        <f t="shared" si="3"/>
        <v>nao</v>
      </c>
      <c r="E179" s="133" t="str">
        <f t="shared" si="4"/>
        <v>sim</v>
      </c>
      <c r="F179" s="133" t="str">
        <f t="shared" si="5"/>
        <v/>
      </c>
      <c r="G179" s="133" t="str">
        <f t="shared" si="6"/>
        <v/>
      </c>
      <c r="H179" s="133" t="str">
        <f t="shared" si="10"/>
        <v>sim</v>
      </c>
      <c r="I179" s="133" t="str">
        <f t="shared" si="7"/>
        <v/>
      </c>
      <c r="J179" s="133" t="str">
        <f t="shared" si="8"/>
        <v/>
      </c>
      <c r="K179" s="139" t="str">
        <f t="shared" si="24"/>
        <v>nao</v>
      </c>
      <c r="L179" s="136"/>
    </row>
    <row r="180">
      <c r="A180" s="134">
        <v>46201.0</v>
      </c>
      <c r="B180" s="133">
        <f t="shared" si="1"/>
        <v>1</v>
      </c>
      <c r="C180" s="133" t="str">
        <f t="shared" si="2"/>
        <v>domingo</v>
      </c>
      <c r="D180" s="133" t="str">
        <f t="shared" si="3"/>
        <v>nao</v>
      </c>
      <c r="E180" s="133" t="str">
        <f t="shared" si="4"/>
        <v/>
      </c>
      <c r="F180" s="133" t="str">
        <f t="shared" si="5"/>
        <v/>
      </c>
      <c r="G180" s="133" t="str">
        <f t="shared" si="6"/>
        <v/>
      </c>
      <c r="H180" s="133" t="str">
        <f t="shared" si="10"/>
        <v>sim</v>
      </c>
      <c r="I180" s="133" t="str">
        <f t="shared" si="7"/>
        <v/>
      </c>
      <c r="J180" s="133" t="str">
        <f t="shared" si="8"/>
        <v/>
      </c>
      <c r="K180" s="139" t="str">
        <f t="shared" si="24"/>
        <v>nao</v>
      </c>
      <c r="L180" s="136"/>
    </row>
    <row r="181">
      <c r="A181" s="134">
        <v>46202.0</v>
      </c>
      <c r="B181" s="133">
        <f t="shared" si="1"/>
        <v>2</v>
      </c>
      <c r="C181" s="133" t="str">
        <f t="shared" si="2"/>
        <v>segunda-feira</v>
      </c>
      <c r="D181" s="133" t="str">
        <f t="shared" si="3"/>
        <v>sim</v>
      </c>
      <c r="E181" s="133" t="str">
        <f t="shared" si="4"/>
        <v/>
      </c>
      <c r="F181" s="133" t="str">
        <f t="shared" si="5"/>
        <v/>
      </c>
      <c r="G181" s="133" t="str">
        <f t="shared" si="6"/>
        <v/>
      </c>
      <c r="H181" s="133" t="str">
        <f t="shared" si="10"/>
        <v>sim</v>
      </c>
      <c r="I181" s="133" t="str">
        <f t="shared" si="7"/>
        <v/>
      </c>
      <c r="J181" s="133" t="str">
        <f t="shared" si="8"/>
        <v/>
      </c>
      <c r="K181" s="139" t="str">
        <f t="shared" si="24"/>
        <v>nao</v>
      </c>
      <c r="L181" s="136"/>
    </row>
    <row r="182">
      <c r="A182" s="134">
        <v>46203.0</v>
      </c>
      <c r="B182" s="133">
        <f t="shared" si="1"/>
        <v>3</v>
      </c>
      <c r="C182" s="133" t="str">
        <f t="shared" si="2"/>
        <v>terça-feira</v>
      </c>
      <c r="D182" s="133" t="str">
        <f t="shared" si="3"/>
        <v>sim</v>
      </c>
      <c r="E182" s="133" t="str">
        <f t="shared" si="4"/>
        <v/>
      </c>
      <c r="F182" s="133" t="str">
        <f t="shared" si="5"/>
        <v/>
      </c>
      <c r="G182" s="133" t="str">
        <f t="shared" si="6"/>
        <v/>
      </c>
      <c r="H182" s="133" t="str">
        <f t="shared" si="10"/>
        <v>sim</v>
      </c>
      <c r="I182" s="133" t="str">
        <f t="shared" si="7"/>
        <v/>
      </c>
      <c r="J182" s="133" t="str">
        <f t="shared" si="8"/>
        <v/>
      </c>
      <c r="K182" s="139" t="str">
        <f t="shared" si="24"/>
        <v>nao</v>
      </c>
      <c r="L182" s="136"/>
    </row>
    <row r="183">
      <c r="A183" s="134">
        <v>46204.0</v>
      </c>
      <c r="B183" s="133">
        <f t="shared" si="1"/>
        <v>4</v>
      </c>
      <c r="C183" s="133" t="str">
        <f t="shared" si="2"/>
        <v>quarta-feira</v>
      </c>
      <c r="D183" s="133" t="str">
        <f t="shared" si="3"/>
        <v>sim</v>
      </c>
      <c r="E183" s="133" t="str">
        <f t="shared" si="4"/>
        <v/>
      </c>
      <c r="F183" s="133" t="str">
        <f t="shared" si="5"/>
        <v/>
      </c>
      <c r="G183" s="133" t="str">
        <f t="shared" si="6"/>
        <v/>
      </c>
      <c r="H183" s="133" t="str">
        <f t="shared" si="10"/>
        <v>sim</v>
      </c>
      <c r="I183" s="133" t="str">
        <f t="shared" si="7"/>
        <v/>
      </c>
      <c r="J183" s="133" t="str">
        <f t="shared" si="8"/>
        <v/>
      </c>
      <c r="K183" s="139" t="str">
        <f t="shared" si="24"/>
        <v>nao</v>
      </c>
      <c r="L183" s="136"/>
    </row>
    <row r="184">
      <c r="A184" s="134">
        <v>46205.0</v>
      </c>
      <c r="B184" s="133">
        <f t="shared" si="1"/>
        <v>5</v>
      </c>
      <c r="C184" s="133" t="str">
        <f t="shared" si="2"/>
        <v>quinta-feira</v>
      </c>
      <c r="D184" s="133" t="str">
        <f t="shared" si="3"/>
        <v>sim</v>
      </c>
      <c r="E184" s="133" t="str">
        <f t="shared" si="4"/>
        <v/>
      </c>
      <c r="F184" s="133" t="str">
        <f t="shared" si="5"/>
        <v>sim</v>
      </c>
      <c r="G184" s="133" t="str">
        <f t="shared" si="6"/>
        <v/>
      </c>
      <c r="H184" s="133" t="str">
        <f t="shared" si="10"/>
        <v>sim</v>
      </c>
      <c r="I184" s="133" t="str">
        <f t="shared" si="7"/>
        <v/>
      </c>
      <c r="J184" s="133" t="str">
        <f t="shared" si="8"/>
        <v/>
      </c>
      <c r="K184" s="139" t="str">
        <f t="shared" si="24"/>
        <v>nao</v>
      </c>
      <c r="L184" s="136"/>
    </row>
    <row r="185">
      <c r="A185" s="134">
        <v>46206.0</v>
      </c>
      <c r="B185" s="133">
        <f t="shared" si="1"/>
        <v>6</v>
      </c>
      <c r="C185" s="133" t="str">
        <f t="shared" si="2"/>
        <v>sexta-feira</v>
      </c>
      <c r="D185" s="133" t="str">
        <f t="shared" si="3"/>
        <v>sim</v>
      </c>
      <c r="E185" s="133" t="str">
        <f t="shared" si="4"/>
        <v/>
      </c>
      <c r="F185" s="133" t="str">
        <f t="shared" si="5"/>
        <v/>
      </c>
      <c r="G185" s="133" t="str">
        <f t="shared" si="6"/>
        <v/>
      </c>
      <c r="H185" s="133" t="str">
        <f t="shared" si="10"/>
        <v>sim</v>
      </c>
      <c r="I185" s="133" t="str">
        <f t="shared" si="7"/>
        <v/>
      </c>
      <c r="J185" s="133" t="str">
        <f t="shared" si="8"/>
        <v/>
      </c>
      <c r="K185" s="139" t="str">
        <f t="shared" si="24"/>
        <v>nao</v>
      </c>
      <c r="L185" s="136"/>
    </row>
    <row r="186">
      <c r="A186" s="134">
        <v>46207.0</v>
      </c>
      <c r="B186" s="133">
        <f t="shared" si="1"/>
        <v>7</v>
      </c>
      <c r="C186" s="133" t="str">
        <f t="shared" si="2"/>
        <v>sábado</v>
      </c>
      <c r="D186" s="133" t="str">
        <f t="shared" si="3"/>
        <v>nao</v>
      </c>
      <c r="E186" s="133" t="str">
        <f t="shared" si="4"/>
        <v/>
      </c>
      <c r="F186" s="133" t="str">
        <f t="shared" si="5"/>
        <v/>
      </c>
      <c r="G186" s="133" t="str">
        <f t="shared" si="6"/>
        <v/>
      </c>
      <c r="H186" s="133" t="str">
        <f t="shared" si="10"/>
        <v/>
      </c>
      <c r="I186" s="133" t="str">
        <f t="shared" si="7"/>
        <v/>
      </c>
      <c r="J186" s="133" t="str">
        <f t="shared" si="8"/>
        <v/>
      </c>
      <c r="K186" s="139" t="str">
        <f t="shared" si="24"/>
        <v>nao</v>
      </c>
      <c r="L186" s="136"/>
    </row>
    <row r="187">
      <c r="A187" s="134">
        <v>46208.0</v>
      </c>
      <c r="B187" s="133">
        <f t="shared" si="1"/>
        <v>1</v>
      </c>
      <c r="C187" s="133" t="str">
        <f t="shared" si="2"/>
        <v>domingo</v>
      </c>
      <c r="D187" s="133" t="str">
        <f t="shared" si="3"/>
        <v>nao</v>
      </c>
      <c r="E187" s="133" t="str">
        <f t="shared" si="4"/>
        <v/>
      </c>
      <c r="F187" s="133" t="str">
        <f t="shared" si="5"/>
        <v/>
      </c>
      <c r="G187" s="133" t="str">
        <f t="shared" si="6"/>
        <v/>
      </c>
      <c r="H187" s="133" t="str">
        <f t="shared" si="10"/>
        <v/>
      </c>
      <c r="I187" s="133" t="str">
        <f t="shared" si="7"/>
        <v/>
      </c>
      <c r="J187" s="133" t="str">
        <f t="shared" si="8"/>
        <v/>
      </c>
      <c r="K187" s="139" t="str">
        <f t="shared" si="24"/>
        <v>nao</v>
      </c>
      <c r="L187" s="136"/>
    </row>
    <row r="188">
      <c r="A188" s="134">
        <v>46209.0</v>
      </c>
      <c r="B188" s="133">
        <f t="shared" si="1"/>
        <v>2</v>
      </c>
      <c r="C188" s="133" t="str">
        <f t="shared" si="2"/>
        <v>segunda-feira</v>
      </c>
      <c r="D188" s="133" t="str">
        <f t="shared" si="3"/>
        <v>sim</v>
      </c>
      <c r="E188" s="133" t="str">
        <f t="shared" si="4"/>
        <v/>
      </c>
      <c r="F188" s="133" t="str">
        <f t="shared" si="5"/>
        <v/>
      </c>
      <c r="G188" s="133" t="str">
        <f t="shared" si="6"/>
        <v/>
      </c>
      <c r="H188" s="133" t="str">
        <f t="shared" si="10"/>
        <v/>
      </c>
      <c r="I188" s="133" t="str">
        <f t="shared" si="7"/>
        <v/>
      </c>
      <c r="J188" s="133" t="str">
        <f t="shared" si="8"/>
        <v/>
      </c>
      <c r="K188" s="138" t="s">
        <v>278</v>
      </c>
      <c r="L188" s="136"/>
    </row>
    <row r="189">
      <c r="A189" s="134">
        <v>46210.0</v>
      </c>
      <c r="B189" s="133">
        <f t="shared" si="1"/>
        <v>3</v>
      </c>
      <c r="C189" s="133" t="str">
        <f t="shared" si="2"/>
        <v>terça-feira</v>
      </c>
      <c r="D189" s="133" t="str">
        <f t="shared" si="3"/>
        <v>sim</v>
      </c>
      <c r="E189" s="133" t="str">
        <f t="shared" si="4"/>
        <v/>
      </c>
      <c r="F189" s="133" t="str">
        <f t="shared" si="5"/>
        <v/>
      </c>
      <c r="G189" s="133" t="str">
        <f t="shared" si="6"/>
        <v/>
      </c>
      <c r="H189" s="133" t="str">
        <f t="shared" si="10"/>
        <v/>
      </c>
      <c r="I189" s="133" t="str">
        <f t="shared" si="7"/>
        <v/>
      </c>
      <c r="J189" s="133" t="str">
        <f t="shared" si="8"/>
        <v/>
      </c>
      <c r="K189" s="138" t="s">
        <v>278</v>
      </c>
      <c r="L189" s="136"/>
    </row>
    <row r="190">
      <c r="A190" s="134">
        <v>46211.0</v>
      </c>
      <c r="B190" s="133">
        <f t="shared" si="1"/>
        <v>4</v>
      </c>
      <c r="C190" s="133" t="str">
        <f t="shared" si="2"/>
        <v>quarta-feira</v>
      </c>
      <c r="D190" s="133" t="str">
        <f t="shared" si="3"/>
        <v>sim</v>
      </c>
      <c r="E190" s="133" t="str">
        <f t="shared" si="4"/>
        <v/>
      </c>
      <c r="F190" s="133" t="str">
        <f t="shared" si="5"/>
        <v/>
      </c>
      <c r="G190" s="133" t="str">
        <f t="shared" si="6"/>
        <v/>
      </c>
      <c r="H190" s="133" t="str">
        <f t="shared" si="10"/>
        <v/>
      </c>
      <c r="I190" s="133" t="str">
        <f t="shared" si="7"/>
        <v/>
      </c>
      <c r="J190" s="133" t="str">
        <f t="shared" si="8"/>
        <v/>
      </c>
      <c r="K190" s="138" t="s">
        <v>278</v>
      </c>
      <c r="L190" s="136"/>
    </row>
    <row r="191">
      <c r="A191" s="134">
        <v>46212.0</v>
      </c>
      <c r="B191" s="133">
        <f t="shared" si="1"/>
        <v>5</v>
      </c>
      <c r="C191" s="133" t="str">
        <f t="shared" si="2"/>
        <v>quinta-feira</v>
      </c>
      <c r="D191" s="133" t="str">
        <f t="shared" si="3"/>
        <v>sim</v>
      </c>
      <c r="E191" s="133" t="str">
        <f t="shared" si="4"/>
        <v/>
      </c>
      <c r="F191" s="133" t="str">
        <f t="shared" si="5"/>
        <v/>
      </c>
      <c r="G191" s="133" t="str">
        <f t="shared" si="6"/>
        <v/>
      </c>
      <c r="H191" s="133" t="str">
        <f t="shared" si="10"/>
        <v/>
      </c>
      <c r="I191" s="133" t="str">
        <f t="shared" si="7"/>
        <v/>
      </c>
      <c r="J191" s="133" t="str">
        <f t="shared" si="8"/>
        <v/>
      </c>
      <c r="K191" s="138" t="s">
        <v>278</v>
      </c>
      <c r="L191" s="136"/>
    </row>
    <row r="192">
      <c r="A192" s="134">
        <v>46213.0</v>
      </c>
      <c r="B192" s="133">
        <f t="shared" si="1"/>
        <v>6</v>
      </c>
      <c r="C192" s="133" t="str">
        <f t="shared" si="2"/>
        <v>sexta-feira</v>
      </c>
      <c r="D192" s="133" t="str">
        <f t="shared" si="3"/>
        <v>sim</v>
      </c>
      <c r="E192" s="133" t="str">
        <f t="shared" si="4"/>
        <v/>
      </c>
      <c r="F192" s="133" t="str">
        <f t="shared" si="5"/>
        <v/>
      </c>
      <c r="G192" s="133" t="str">
        <f t="shared" si="6"/>
        <v/>
      </c>
      <c r="H192" s="133" t="str">
        <f t="shared" si="10"/>
        <v/>
      </c>
      <c r="I192" s="133" t="str">
        <f t="shared" si="7"/>
        <v/>
      </c>
      <c r="J192" s="133" t="str">
        <f t="shared" si="8"/>
        <v/>
      </c>
      <c r="K192" s="138" t="s">
        <v>278</v>
      </c>
      <c r="L192" s="136"/>
    </row>
    <row r="193">
      <c r="A193" s="134">
        <v>46214.0</v>
      </c>
      <c r="B193" s="133">
        <f t="shared" si="1"/>
        <v>7</v>
      </c>
      <c r="C193" s="133" t="str">
        <f t="shared" si="2"/>
        <v>sábado</v>
      </c>
      <c r="D193" s="133" t="str">
        <f t="shared" si="3"/>
        <v>nao</v>
      </c>
      <c r="E193" s="133" t="str">
        <f t="shared" si="4"/>
        <v/>
      </c>
      <c r="F193" s="133" t="str">
        <f t="shared" si="5"/>
        <v/>
      </c>
      <c r="G193" s="133" t="str">
        <f t="shared" si="6"/>
        <v/>
      </c>
      <c r="H193" s="133" t="str">
        <f t="shared" si="10"/>
        <v/>
      </c>
      <c r="I193" s="133" t="str">
        <f t="shared" si="7"/>
        <v/>
      </c>
      <c r="J193" s="133" t="str">
        <f t="shared" si="8"/>
        <v/>
      </c>
      <c r="K193" s="139" t="str">
        <f t="shared" ref="K193:K194" si="25">IF(AND(D193="sim",E193="sim",F193="",G193="",H193="",I193="",J193=""),"sim","nao")
</f>
        <v>nao</v>
      </c>
      <c r="L193" s="136"/>
    </row>
    <row r="194">
      <c r="A194" s="134">
        <v>46215.0</v>
      </c>
      <c r="B194" s="133">
        <f t="shared" si="1"/>
        <v>1</v>
      </c>
      <c r="C194" s="133" t="str">
        <f t="shared" si="2"/>
        <v>domingo</v>
      </c>
      <c r="D194" s="133" t="str">
        <f t="shared" si="3"/>
        <v>nao</v>
      </c>
      <c r="E194" s="133" t="str">
        <f t="shared" si="4"/>
        <v/>
      </c>
      <c r="F194" s="133" t="str">
        <f t="shared" si="5"/>
        <v/>
      </c>
      <c r="G194" s="133" t="str">
        <f t="shared" si="6"/>
        <v/>
      </c>
      <c r="H194" s="133" t="str">
        <f t="shared" si="10"/>
        <v/>
      </c>
      <c r="I194" s="133" t="str">
        <f t="shared" si="7"/>
        <v/>
      </c>
      <c r="J194" s="133" t="str">
        <f t="shared" si="8"/>
        <v/>
      </c>
      <c r="K194" s="139" t="str">
        <f t="shared" si="25"/>
        <v>nao</v>
      </c>
      <c r="L194" s="136"/>
    </row>
    <row r="195">
      <c r="A195" s="134">
        <v>46216.0</v>
      </c>
      <c r="B195" s="133">
        <f t="shared" si="1"/>
        <v>2</v>
      </c>
      <c r="C195" s="133" t="str">
        <f t="shared" si="2"/>
        <v>segunda-feira</v>
      </c>
      <c r="D195" s="133" t="str">
        <f t="shared" si="3"/>
        <v>sim</v>
      </c>
      <c r="E195" s="133" t="str">
        <f t="shared" si="4"/>
        <v/>
      </c>
      <c r="F195" s="133" t="str">
        <f t="shared" si="5"/>
        <v/>
      </c>
      <c r="G195" s="133" t="str">
        <f t="shared" si="6"/>
        <v/>
      </c>
      <c r="H195" s="133" t="str">
        <f t="shared" si="10"/>
        <v/>
      </c>
      <c r="I195" s="133" t="str">
        <f t="shared" si="7"/>
        <v/>
      </c>
      <c r="J195" s="133" t="str">
        <f t="shared" si="8"/>
        <v/>
      </c>
      <c r="K195" s="138" t="s">
        <v>278</v>
      </c>
      <c r="L195" s="136"/>
    </row>
    <row r="196">
      <c r="A196" s="134">
        <v>46217.0</v>
      </c>
      <c r="B196" s="133">
        <f t="shared" si="1"/>
        <v>3</v>
      </c>
      <c r="C196" s="133" t="str">
        <f t="shared" si="2"/>
        <v>terça-feira</v>
      </c>
      <c r="D196" s="133" t="str">
        <f t="shared" si="3"/>
        <v>sim</v>
      </c>
      <c r="E196" s="133" t="str">
        <f t="shared" si="4"/>
        <v/>
      </c>
      <c r="F196" s="133" t="str">
        <f t="shared" si="5"/>
        <v/>
      </c>
      <c r="G196" s="133" t="str">
        <f t="shared" si="6"/>
        <v/>
      </c>
      <c r="H196" s="133" t="str">
        <f t="shared" si="10"/>
        <v/>
      </c>
      <c r="I196" s="133" t="str">
        <f t="shared" si="7"/>
        <v/>
      </c>
      <c r="J196" s="133" t="str">
        <f t="shared" si="8"/>
        <v/>
      </c>
      <c r="K196" s="138" t="s">
        <v>278</v>
      </c>
      <c r="L196" s="136"/>
    </row>
    <row r="197">
      <c r="A197" s="134">
        <v>46218.0</v>
      </c>
      <c r="B197" s="133">
        <f t="shared" si="1"/>
        <v>4</v>
      </c>
      <c r="C197" s="133" t="str">
        <f t="shared" si="2"/>
        <v>quarta-feira</v>
      </c>
      <c r="D197" s="133" t="str">
        <f t="shared" si="3"/>
        <v>sim</v>
      </c>
      <c r="E197" s="133" t="str">
        <f t="shared" si="4"/>
        <v/>
      </c>
      <c r="F197" s="133" t="str">
        <f t="shared" si="5"/>
        <v/>
      </c>
      <c r="G197" s="133" t="str">
        <f t="shared" si="6"/>
        <v/>
      </c>
      <c r="H197" s="133" t="str">
        <f t="shared" si="10"/>
        <v/>
      </c>
      <c r="I197" s="133" t="str">
        <f t="shared" si="7"/>
        <v/>
      </c>
      <c r="J197" s="133" t="str">
        <f t="shared" si="8"/>
        <v/>
      </c>
      <c r="K197" s="138" t="s">
        <v>278</v>
      </c>
      <c r="L197" s="136"/>
    </row>
    <row r="198">
      <c r="A198" s="134">
        <v>46219.0</v>
      </c>
      <c r="B198" s="133">
        <f t="shared" si="1"/>
        <v>5</v>
      </c>
      <c r="C198" s="133" t="str">
        <f t="shared" si="2"/>
        <v>quinta-feira</v>
      </c>
      <c r="D198" s="133" t="str">
        <f t="shared" si="3"/>
        <v>sim</v>
      </c>
      <c r="E198" s="133" t="str">
        <f t="shared" si="4"/>
        <v/>
      </c>
      <c r="F198" s="133" t="str">
        <f t="shared" si="5"/>
        <v/>
      </c>
      <c r="G198" s="133" t="str">
        <f t="shared" si="6"/>
        <v/>
      </c>
      <c r="H198" s="133" t="str">
        <f t="shared" si="10"/>
        <v/>
      </c>
      <c r="I198" s="133" t="str">
        <f t="shared" si="7"/>
        <v/>
      </c>
      <c r="J198" s="133" t="str">
        <f t="shared" si="8"/>
        <v/>
      </c>
      <c r="K198" s="138" t="s">
        <v>278</v>
      </c>
      <c r="L198" s="136"/>
    </row>
    <row r="199">
      <c r="A199" s="134">
        <v>46220.0</v>
      </c>
      <c r="B199" s="133">
        <f t="shared" si="1"/>
        <v>6</v>
      </c>
      <c r="C199" s="133" t="str">
        <f t="shared" si="2"/>
        <v>sexta-feira</v>
      </c>
      <c r="D199" s="133" t="str">
        <f t="shared" si="3"/>
        <v>sim</v>
      </c>
      <c r="E199" s="133" t="str">
        <f t="shared" si="4"/>
        <v/>
      </c>
      <c r="F199" s="133" t="str">
        <f t="shared" si="5"/>
        <v/>
      </c>
      <c r="G199" s="133" t="str">
        <f t="shared" si="6"/>
        <v/>
      </c>
      <c r="H199" s="133" t="str">
        <f t="shared" si="10"/>
        <v/>
      </c>
      <c r="I199" s="133" t="str">
        <f t="shared" si="7"/>
        <v/>
      </c>
      <c r="J199" s="133" t="str">
        <f t="shared" si="8"/>
        <v/>
      </c>
      <c r="K199" s="138" t="s">
        <v>278</v>
      </c>
      <c r="L199" s="136"/>
    </row>
    <row r="200">
      <c r="A200" s="134">
        <v>46221.0</v>
      </c>
      <c r="B200" s="133">
        <f t="shared" si="1"/>
        <v>7</v>
      </c>
      <c r="C200" s="133" t="str">
        <f t="shared" si="2"/>
        <v>sábado</v>
      </c>
      <c r="D200" s="133" t="str">
        <f t="shared" si="3"/>
        <v>nao</v>
      </c>
      <c r="E200" s="133" t="str">
        <f t="shared" si="4"/>
        <v/>
      </c>
      <c r="F200" s="133" t="str">
        <f t="shared" si="5"/>
        <v/>
      </c>
      <c r="G200" s="133" t="str">
        <f t="shared" si="6"/>
        <v/>
      </c>
      <c r="H200" s="133" t="str">
        <f t="shared" si="10"/>
        <v/>
      </c>
      <c r="I200" s="133" t="str">
        <f t="shared" si="7"/>
        <v/>
      </c>
      <c r="J200" s="133" t="str">
        <f t="shared" si="8"/>
        <v/>
      </c>
      <c r="K200" s="139" t="str">
        <f t="shared" ref="K200:K201" si="26">IF(AND(D200="sim",E200="sim",F200="",G200="",H200="",I200="",J200=""),"sim","nao")
</f>
        <v>nao</v>
      </c>
      <c r="L200" s="136"/>
    </row>
    <row r="201">
      <c r="A201" s="134">
        <v>46222.0</v>
      </c>
      <c r="B201" s="133">
        <f t="shared" si="1"/>
        <v>1</v>
      </c>
      <c r="C201" s="133" t="str">
        <f t="shared" si="2"/>
        <v>domingo</v>
      </c>
      <c r="D201" s="133" t="str">
        <f t="shared" si="3"/>
        <v>nao</v>
      </c>
      <c r="E201" s="133" t="str">
        <f t="shared" si="4"/>
        <v/>
      </c>
      <c r="F201" s="133" t="str">
        <f t="shared" si="5"/>
        <v/>
      </c>
      <c r="G201" s="133" t="str">
        <f t="shared" si="6"/>
        <v/>
      </c>
      <c r="H201" s="133" t="str">
        <f t="shared" si="10"/>
        <v/>
      </c>
      <c r="I201" s="133" t="str">
        <f t="shared" si="7"/>
        <v/>
      </c>
      <c r="J201" s="133" t="str">
        <f t="shared" si="8"/>
        <v/>
      </c>
      <c r="K201" s="139" t="str">
        <f t="shared" si="26"/>
        <v>nao</v>
      </c>
      <c r="L201" s="136"/>
    </row>
    <row r="202">
      <c r="A202" s="134">
        <v>46223.0</v>
      </c>
      <c r="B202" s="133">
        <f t="shared" si="1"/>
        <v>2</v>
      </c>
      <c r="C202" s="133" t="str">
        <f t="shared" si="2"/>
        <v>segunda-feira</v>
      </c>
      <c r="D202" s="133" t="str">
        <f t="shared" si="3"/>
        <v>sim</v>
      </c>
      <c r="E202" s="133" t="str">
        <f t="shared" si="4"/>
        <v/>
      </c>
      <c r="F202" s="133" t="str">
        <f t="shared" si="5"/>
        <v/>
      </c>
      <c r="G202" s="133" t="str">
        <f t="shared" si="6"/>
        <v/>
      </c>
      <c r="H202" s="133" t="str">
        <f t="shared" si="10"/>
        <v/>
      </c>
      <c r="I202" s="133" t="str">
        <f t="shared" si="7"/>
        <v/>
      </c>
      <c r="J202" s="133" t="str">
        <f t="shared" si="8"/>
        <v/>
      </c>
      <c r="K202" s="138" t="s">
        <v>278</v>
      </c>
      <c r="L202" s="136"/>
    </row>
    <row r="203">
      <c r="A203" s="134">
        <v>46224.0</v>
      </c>
      <c r="B203" s="133">
        <f t="shared" si="1"/>
        <v>3</v>
      </c>
      <c r="C203" s="133" t="str">
        <f t="shared" si="2"/>
        <v>terça-feira</v>
      </c>
      <c r="D203" s="133" t="str">
        <f t="shared" si="3"/>
        <v>sim</v>
      </c>
      <c r="E203" s="133" t="str">
        <f t="shared" si="4"/>
        <v/>
      </c>
      <c r="F203" s="133" t="str">
        <f t="shared" si="5"/>
        <v/>
      </c>
      <c r="G203" s="133" t="str">
        <f t="shared" si="6"/>
        <v/>
      </c>
      <c r="H203" s="133" t="str">
        <f t="shared" si="10"/>
        <v/>
      </c>
      <c r="I203" s="133" t="str">
        <f t="shared" si="7"/>
        <v/>
      </c>
      <c r="J203" s="133" t="str">
        <f t="shared" si="8"/>
        <v/>
      </c>
      <c r="K203" s="138" t="s">
        <v>278</v>
      </c>
      <c r="L203" s="136"/>
    </row>
    <row r="204">
      <c r="A204" s="134">
        <v>46225.0</v>
      </c>
      <c r="B204" s="133">
        <f t="shared" si="1"/>
        <v>4</v>
      </c>
      <c r="C204" s="133" t="str">
        <f t="shared" si="2"/>
        <v>quarta-feira</v>
      </c>
      <c r="D204" s="133" t="str">
        <f t="shared" si="3"/>
        <v>sim</v>
      </c>
      <c r="E204" s="133" t="str">
        <f t="shared" si="4"/>
        <v/>
      </c>
      <c r="F204" s="133" t="str">
        <f t="shared" si="5"/>
        <v/>
      </c>
      <c r="G204" s="133" t="str">
        <f t="shared" si="6"/>
        <v/>
      </c>
      <c r="H204" s="133" t="str">
        <f t="shared" si="10"/>
        <v/>
      </c>
      <c r="I204" s="133" t="str">
        <f t="shared" si="7"/>
        <v/>
      </c>
      <c r="J204" s="133" t="str">
        <f t="shared" si="8"/>
        <v/>
      </c>
      <c r="K204" s="138" t="s">
        <v>278</v>
      </c>
      <c r="L204" s="136"/>
    </row>
    <row r="205">
      <c r="A205" s="134">
        <v>46226.0</v>
      </c>
      <c r="B205" s="133">
        <f t="shared" si="1"/>
        <v>5</v>
      </c>
      <c r="C205" s="133" t="str">
        <f t="shared" si="2"/>
        <v>quinta-feira</v>
      </c>
      <c r="D205" s="133" t="str">
        <f t="shared" si="3"/>
        <v>sim</v>
      </c>
      <c r="E205" s="133" t="str">
        <f t="shared" si="4"/>
        <v/>
      </c>
      <c r="F205" s="133" t="str">
        <f t="shared" si="5"/>
        <v/>
      </c>
      <c r="G205" s="133" t="str">
        <f t="shared" si="6"/>
        <v/>
      </c>
      <c r="H205" s="133" t="str">
        <f t="shared" si="10"/>
        <v/>
      </c>
      <c r="I205" s="133" t="str">
        <f t="shared" si="7"/>
        <v/>
      </c>
      <c r="J205" s="133" t="str">
        <f t="shared" si="8"/>
        <v/>
      </c>
      <c r="K205" s="138" t="s">
        <v>278</v>
      </c>
      <c r="L205" s="136"/>
    </row>
    <row r="206">
      <c r="A206" s="134">
        <v>46227.0</v>
      </c>
      <c r="B206" s="133">
        <f t="shared" si="1"/>
        <v>6</v>
      </c>
      <c r="C206" s="133" t="str">
        <f t="shared" si="2"/>
        <v>sexta-feira</v>
      </c>
      <c r="D206" s="133" t="str">
        <f t="shared" si="3"/>
        <v>sim</v>
      </c>
      <c r="E206" s="133" t="str">
        <f t="shared" si="4"/>
        <v/>
      </c>
      <c r="F206" s="133" t="str">
        <f t="shared" si="5"/>
        <v/>
      </c>
      <c r="G206" s="133" t="str">
        <f t="shared" si="6"/>
        <v/>
      </c>
      <c r="H206" s="133" t="str">
        <f t="shared" si="10"/>
        <v/>
      </c>
      <c r="I206" s="133" t="str">
        <f t="shared" si="7"/>
        <v/>
      </c>
      <c r="J206" s="133" t="str">
        <f t="shared" si="8"/>
        <v/>
      </c>
      <c r="K206" s="138" t="s">
        <v>278</v>
      </c>
      <c r="L206" s="136"/>
    </row>
    <row r="207">
      <c r="A207" s="134">
        <v>46228.0</v>
      </c>
      <c r="B207" s="133">
        <f t="shared" si="1"/>
        <v>7</v>
      </c>
      <c r="C207" s="133" t="str">
        <f t="shared" si="2"/>
        <v>sábado</v>
      </c>
      <c r="D207" s="133" t="str">
        <f t="shared" si="3"/>
        <v>nao</v>
      </c>
      <c r="E207" s="133" t="str">
        <f t="shared" si="4"/>
        <v>sim</v>
      </c>
      <c r="F207" s="133" t="str">
        <f t="shared" si="5"/>
        <v/>
      </c>
      <c r="G207" s="133" t="str">
        <f t="shared" si="6"/>
        <v/>
      </c>
      <c r="H207" s="133" t="str">
        <f t="shared" si="10"/>
        <v/>
      </c>
      <c r="I207" s="133" t="str">
        <f t="shared" si="7"/>
        <v/>
      </c>
      <c r="J207" s="133" t="str">
        <f t="shared" si="8"/>
        <v/>
      </c>
      <c r="K207" s="138" t="s">
        <v>278</v>
      </c>
      <c r="L207" s="136"/>
    </row>
    <row r="208">
      <c r="A208" s="134">
        <v>46229.0</v>
      </c>
      <c r="B208" s="133">
        <f t="shared" si="1"/>
        <v>1</v>
      </c>
      <c r="C208" s="133" t="str">
        <f t="shared" si="2"/>
        <v>domingo</v>
      </c>
      <c r="D208" s="133" t="str">
        <f t="shared" si="3"/>
        <v>nao</v>
      </c>
      <c r="E208" s="133" t="str">
        <f t="shared" si="4"/>
        <v/>
      </c>
      <c r="F208" s="133" t="str">
        <f t="shared" si="5"/>
        <v/>
      </c>
      <c r="G208" s="133" t="str">
        <f t="shared" si="6"/>
        <v/>
      </c>
      <c r="H208" s="133" t="str">
        <f t="shared" si="10"/>
        <v/>
      </c>
      <c r="I208" s="133" t="str">
        <f t="shared" si="7"/>
        <v/>
      </c>
      <c r="J208" s="133" t="str">
        <f t="shared" si="8"/>
        <v/>
      </c>
      <c r="K208" s="139" t="str">
        <f>IF(AND(D208="sim",E208="sim",F208="",G208="",H208="",I208="",J208=""),"sim","nao")
</f>
        <v>nao</v>
      </c>
      <c r="L208" s="136"/>
    </row>
    <row r="209">
      <c r="A209" s="134">
        <v>46230.0</v>
      </c>
      <c r="B209" s="133">
        <f t="shared" si="1"/>
        <v>2</v>
      </c>
      <c r="C209" s="133" t="str">
        <f t="shared" si="2"/>
        <v>segunda-feira</v>
      </c>
      <c r="D209" s="133" t="str">
        <f t="shared" si="3"/>
        <v>sim</v>
      </c>
      <c r="E209" s="133" t="str">
        <f t="shared" si="4"/>
        <v/>
      </c>
      <c r="F209" s="133" t="str">
        <f t="shared" si="5"/>
        <v/>
      </c>
      <c r="G209" s="133" t="str">
        <f t="shared" si="6"/>
        <v/>
      </c>
      <c r="H209" s="133" t="str">
        <f t="shared" si="10"/>
        <v/>
      </c>
      <c r="I209" s="133" t="str">
        <f t="shared" si="7"/>
        <v/>
      </c>
      <c r="J209" s="133" t="str">
        <f t="shared" si="8"/>
        <v/>
      </c>
      <c r="K209" s="138" t="s">
        <v>278</v>
      </c>
      <c r="L209" s="136"/>
    </row>
    <row r="210">
      <c r="A210" s="134">
        <v>46231.0</v>
      </c>
      <c r="B210" s="133">
        <f t="shared" si="1"/>
        <v>3</v>
      </c>
      <c r="C210" s="133" t="str">
        <f t="shared" si="2"/>
        <v>terça-feira</v>
      </c>
      <c r="D210" s="133" t="str">
        <f t="shared" si="3"/>
        <v>sim</v>
      </c>
      <c r="E210" s="133" t="str">
        <f t="shared" si="4"/>
        <v/>
      </c>
      <c r="F210" s="133" t="str">
        <f t="shared" si="5"/>
        <v/>
      </c>
      <c r="G210" s="133" t="str">
        <f t="shared" si="6"/>
        <v/>
      </c>
      <c r="H210" s="133" t="str">
        <f t="shared" si="10"/>
        <v/>
      </c>
      <c r="I210" s="133" t="str">
        <f t="shared" si="7"/>
        <v/>
      </c>
      <c r="J210" s="133" t="str">
        <f t="shared" si="8"/>
        <v/>
      </c>
      <c r="K210" s="138" t="s">
        <v>278</v>
      </c>
      <c r="L210" s="136"/>
    </row>
    <row r="211">
      <c r="A211" s="134">
        <v>46232.0</v>
      </c>
      <c r="B211" s="133">
        <f t="shared" si="1"/>
        <v>4</v>
      </c>
      <c r="C211" s="133" t="str">
        <f t="shared" si="2"/>
        <v>quarta-feira</v>
      </c>
      <c r="D211" s="133" t="str">
        <f t="shared" si="3"/>
        <v>sim</v>
      </c>
      <c r="E211" s="133" t="str">
        <f t="shared" si="4"/>
        <v/>
      </c>
      <c r="F211" s="133" t="str">
        <f t="shared" si="5"/>
        <v/>
      </c>
      <c r="G211" s="133" t="str">
        <f t="shared" si="6"/>
        <v/>
      </c>
      <c r="H211" s="133" t="str">
        <f t="shared" si="10"/>
        <v/>
      </c>
      <c r="I211" s="133" t="str">
        <f t="shared" si="7"/>
        <v/>
      </c>
      <c r="J211" s="133" t="str">
        <f t="shared" si="8"/>
        <v/>
      </c>
      <c r="K211" s="138" t="s">
        <v>278</v>
      </c>
      <c r="L211" s="136"/>
    </row>
    <row r="212">
      <c r="A212" s="134">
        <v>46233.0</v>
      </c>
      <c r="B212" s="133">
        <f t="shared" si="1"/>
        <v>5</v>
      </c>
      <c r="C212" s="133" t="str">
        <f t="shared" si="2"/>
        <v>quinta-feira</v>
      </c>
      <c r="D212" s="133" t="str">
        <f t="shared" si="3"/>
        <v>sim</v>
      </c>
      <c r="E212" s="133" t="str">
        <f t="shared" si="4"/>
        <v/>
      </c>
      <c r="F212" s="133" t="str">
        <f t="shared" si="5"/>
        <v/>
      </c>
      <c r="G212" s="133" t="str">
        <f t="shared" si="6"/>
        <v/>
      </c>
      <c r="H212" s="133" t="str">
        <f t="shared" si="10"/>
        <v/>
      </c>
      <c r="I212" s="133" t="str">
        <f t="shared" si="7"/>
        <v/>
      </c>
      <c r="J212" s="133" t="str">
        <f t="shared" si="8"/>
        <v/>
      </c>
      <c r="K212" s="138" t="s">
        <v>278</v>
      </c>
      <c r="L212" s="136"/>
    </row>
    <row r="213">
      <c r="A213" s="134">
        <v>46234.0</v>
      </c>
      <c r="B213" s="133">
        <f t="shared" si="1"/>
        <v>6</v>
      </c>
      <c r="C213" s="133" t="str">
        <f t="shared" si="2"/>
        <v>sexta-feira</v>
      </c>
      <c r="D213" s="133" t="str">
        <f t="shared" si="3"/>
        <v>sim</v>
      </c>
      <c r="E213" s="133" t="str">
        <f t="shared" si="4"/>
        <v/>
      </c>
      <c r="F213" s="133" t="str">
        <f t="shared" si="5"/>
        <v/>
      </c>
      <c r="G213" s="133" t="str">
        <f t="shared" si="6"/>
        <v/>
      </c>
      <c r="H213" s="133" t="str">
        <f t="shared" si="10"/>
        <v/>
      </c>
      <c r="I213" s="133" t="str">
        <f t="shared" si="7"/>
        <v/>
      </c>
      <c r="J213" s="133" t="str">
        <f t="shared" si="8"/>
        <v/>
      </c>
      <c r="K213" s="138" t="s">
        <v>278</v>
      </c>
      <c r="L213" s="136"/>
    </row>
    <row r="214">
      <c r="A214" s="134">
        <v>46235.0</v>
      </c>
      <c r="B214" s="133">
        <f t="shared" si="1"/>
        <v>7</v>
      </c>
      <c r="C214" s="133" t="str">
        <f t="shared" si="2"/>
        <v>sábado</v>
      </c>
      <c r="D214" s="133" t="str">
        <f t="shared" si="3"/>
        <v>nao</v>
      </c>
      <c r="E214" s="133" t="str">
        <f t="shared" si="4"/>
        <v/>
      </c>
      <c r="F214" s="133" t="str">
        <f t="shared" si="5"/>
        <v/>
      </c>
      <c r="G214" s="133" t="str">
        <f t="shared" si="6"/>
        <v/>
      </c>
      <c r="H214" s="133" t="str">
        <f t="shared" si="10"/>
        <v/>
      </c>
      <c r="I214" s="133" t="str">
        <f t="shared" si="7"/>
        <v/>
      </c>
      <c r="J214" s="133" t="str">
        <f t="shared" si="8"/>
        <v/>
      </c>
      <c r="K214" s="139" t="str">
        <f t="shared" ref="K214:K215" si="27">IF(AND(D214="sim",E214="sim",F214="",G214="",H214="",I214="",J214=""),"sim","nao")
</f>
        <v>nao</v>
      </c>
      <c r="L214" s="136"/>
    </row>
    <row r="215">
      <c r="A215" s="134">
        <v>46236.0</v>
      </c>
      <c r="B215" s="133">
        <f t="shared" si="1"/>
        <v>1</v>
      </c>
      <c r="C215" s="133" t="str">
        <f t="shared" si="2"/>
        <v>domingo</v>
      </c>
      <c r="D215" s="133" t="str">
        <f t="shared" si="3"/>
        <v>nao</v>
      </c>
      <c r="E215" s="133" t="str">
        <f t="shared" si="4"/>
        <v/>
      </c>
      <c r="F215" s="133" t="str">
        <f t="shared" si="5"/>
        <v/>
      </c>
      <c r="G215" s="133" t="str">
        <f t="shared" si="6"/>
        <v/>
      </c>
      <c r="H215" s="133" t="str">
        <f t="shared" si="10"/>
        <v/>
      </c>
      <c r="I215" s="133" t="str">
        <f t="shared" si="7"/>
        <v/>
      </c>
      <c r="J215" s="133" t="str">
        <f t="shared" si="8"/>
        <v/>
      </c>
      <c r="K215" s="139" t="str">
        <f t="shared" si="27"/>
        <v>nao</v>
      </c>
      <c r="L215" s="136"/>
    </row>
    <row r="216">
      <c r="A216" s="134">
        <v>46237.0</v>
      </c>
      <c r="B216" s="133">
        <f t="shared" si="1"/>
        <v>2</v>
      </c>
      <c r="C216" s="133" t="str">
        <f t="shared" si="2"/>
        <v>segunda-feira</v>
      </c>
      <c r="D216" s="133" t="str">
        <f t="shared" si="3"/>
        <v>sim</v>
      </c>
      <c r="E216" s="133" t="str">
        <f t="shared" si="4"/>
        <v/>
      </c>
      <c r="F216" s="133" t="str">
        <f t="shared" si="5"/>
        <v/>
      </c>
      <c r="G216" s="133" t="str">
        <f t="shared" si="6"/>
        <v/>
      </c>
      <c r="H216" s="133" t="str">
        <f t="shared" si="10"/>
        <v/>
      </c>
      <c r="I216" s="133" t="str">
        <f t="shared" si="7"/>
        <v/>
      </c>
      <c r="J216" s="133" t="str">
        <f t="shared" si="8"/>
        <v/>
      </c>
      <c r="K216" s="138" t="s">
        <v>278</v>
      </c>
      <c r="L216" s="136"/>
    </row>
    <row r="217">
      <c r="A217" s="134">
        <v>46238.0</v>
      </c>
      <c r="B217" s="133">
        <f t="shared" si="1"/>
        <v>3</v>
      </c>
      <c r="C217" s="133" t="str">
        <f t="shared" si="2"/>
        <v>terça-feira</v>
      </c>
      <c r="D217" s="133" t="str">
        <f t="shared" si="3"/>
        <v>sim</v>
      </c>
      <c r="E217" s="133" t="str">
        <f t="shared" si="4"/>
        <v/>
      </c>
      <c r="F217" s="133" t="str">
        <f t="shared" si="5"/>
        <v/>
      </c>
      <c r="G217" s="133" t="str">
        <f t="shared" si="6"/>
        <v/>
      </c>
      <c r="H217" s="133" t="str">
        <f t="shared" si="10"/>
        <v/>
      </c>
      <c r="I217" s="133" t="str">
        <f t="shared" si="7"/>
        <v/>
      </c>
      <c r="J217" s="133" t="str">
        <f t="shared" si="8"/>
        <v/>
      </c>
      <c r="K217" s="138" t="s">
        <v>278</v>
      </c>
      <c r="L217" s="136"/>
    </row>
    <row r="218">
      <c r="A218" s="134">
        <v>46239.0</v>
      </c>
      <c r="B218" s="133">
        <f t="shared" si="1"/>
        <v>4</v>
      </c>
      <c r="C218" s="133" t="str">
        <f t="shared" si="2"/>
        <v>quarta-feira</v>
      </c>
      <c r="D218" s="133" t="str">
        <f t="shared" si="3"/>
        <v>sim</v>
      </c>
      <c r="E218" s="133" t="str">
        <f t="shared" si="4"/>
        <v/>
      </c>
      <c r="F218" s="133" t="str">
        <f t="shared" si="5"/>
        <v/>
      </c>
      <c r="G218" s="133" t="str">
        <f t="shared" si="6"/>
        <v/>
      </c>
      <c r="H218" s="133" t="str">
        <f t="shared" si="10"/>
        <v/>
      </c>
      <c r="I218" s="133" t="str">
        <f t="shared" si="7"/>
        <v/>
      </c>
      <c r="J218" s="133" t="str">
        <f t="shared" si="8"/>
        <v/>
      </c>
      <c r="K218" s="138" t="s">
        <v>278</v>
      </c>
      <c r="L218" s="136"/>
    </row>
    <row r="219">
      <c r="A219" s="134">
        <v>46240.0</v>
      </c>
      <c r="B219" s="133">
        <f t="shared" si="1"/>
        <v>5</v>
      </c>
      <c r="C219" s="133" t="str">
        <f t="shared" si="2"/>
        <v>quinta-feira</v>
      </c>
      <c r="D219" s="133" t="str">
        <f t="shared" si="3"/>
        <v>sim</v>
      </c>
      <c r="E219" s="133" t="str">
        <f t="shared" si="4"/>
        <v/>
      </c>
      <c r="F219" s="133" t="str">
        <f t="shared" si="5"/>
        <v/>
      </c>
      <c r="G219" s="133" t="str">
        <f t="shared" si="6"/>
        <v/>
      </c>
      <c r="H219" s="133" t="str">
        <f t="shared" si="10"/>
        <v/>
      </c>
      <c r="I219" s="133" t="str">
        <f t="shared" si="7"/>
        <v/>
      </c>
      <c r="J219" s="133" t="str">
        <f t="shared" si="8"/>
        <v/>
      </c>
      <c r="K219" s="138" t="s">
        <v>278</v>
      </c>
      <c r="L219" s="136"/>
    </row>
    <row r="220">
      <c r="A220" s="134">
        <v>46241.0</v>
      </c>
      <c r="B220" s="133">
        <f t="shared" si="1"/>
        <v>6</v>
      </c>
      <c r="C220" s="133" t="str">
        <f t="shared" si="2"/>
        <v>sexta-feira</v>
      </c>
      <c r="D220" s="133" t="str">
        <f t="shared" si="3"/>
        <v>sim</v>
      </c>
      <c r="E220" s="133" t="str">
        <f t="shared" si="4"/>
        <v/>
      </c>
      <c r="F220" s="133" t="str">
        <f t="shared" si="5"/>
        <v/>
      </c>
      <c r="G220" s="133" t="str">
        <f t="shared" si="6"/>
        <v/>
      </c>
      <c r="H220" s="133" t="str">
        <f t="shared" si="10"/>
        <v/>
      </c>
      <c r="I220" s="133" t="str">
        <f t="shared" si="7"/>
        <v/>
      </c>
      <c r="J220" s="133" t="str">
        <f t="shared" si="8"/>
        <v/>
      </c>
      <c r="K220" s="138" t="s">
        <v>278</v>
      </c>
      <c r="L220" s="136"/>
    </row>
    <row r="221">
      <c r="A221" s="134">
        <v>46242.0</v>
      </c>
      <c r="B221" s="133">
        <f t="shared" si="1"/>
        <v>7</v>
      </c>
      <c r="C221" s="133" t="str">
        <f t="shared" si="2"/>
        <v>sábado</v>
      </c>
      <c r="D221" s="133" t="str">
        <f t="shared" si="3"/>
        <v>nao</v>
      </c>
      <c r="E221" s="133" t="str">
        <f t="shared" si="4"/>
        <v/>
      </c>
      <c r="F221" s="133" t="str">
        <f t="shared" si="5"/>
        <v/>
      </c>
      <c r="G221" s="133" t="str">
        <f t="shared" si="6"/>
        <v/>
      </c>
      <c r="H221" s="133" t="str">
        <f t="shared" si="10"/>
        <v/>
      </c>
      <c r="I221" s="133" t="str">
        <f t="shared" si="7"/>
        <v/>
      </c>
      <c r="J221" s="133" t="str">
        <f t="shared" si="8"/>
        <v/>
      </c>
      <c r="K221" s="139" t="str">
        <f t="shared" ref="K221:K222" si="28">IF(AND(D221="sim",E221="sim",F221="",G221="",H221="",I221="",J221=""),"sim","nao")
</f>
        <v>nao</v>
      </c>
      <c r="L221" s="136"/>
    </row>
    <row r="222">
      <c r="A222" s="134">
        <v>46243.0</v>
      </c>
      <c r="B222" s="133">
        <f t="shared" si="1"/>
        <v>1</v>
      </c>
      <c r="C222" s="133" t="str">
        <f t="shared" si="2"/>
        <v>domingo</v>
      </c>
      <c r="D222" s="133" t="str">
        <f t="shared" si="3"/>
        <v>nao</v>
      </c>
      <c r="E222" s="133" t="str">
        <f t="shared" si="4"/>
        <v/>
      </c>
      <c r="F222" s="133" t="str">
        <f t="shared" si="5"/>
        <v/>
      </c>
      <c r="G222" s="133" t="str">
        <f t="shared" si="6"/>
        <v/>
      </c>
      <c r="H222" s="133" t="str">
        <f t="shared" si="10"/>
        <v/>
      </c>
      <c r="I222" s="133" t="str">
        <f t="shared" si="7"/>
        <v/>
      </c>
      <c r="J222" s="133" t="str">
        <f t="shared" si="8"/>
        <v/>
      </c>
      <c r="K222" s="139" t="str">
        <f t="shared" si="28"/>
        <v>nao</v>
      </c>
      <c r="L222" s="136"/>
    </row>
    <row r="223">
      <c r="A223" s="134">
        <v>46244.0</v>
      </c>
      <c r="B223" s="133">
        <f t="shared" si="1"/>
        <v>2</v>
      </c>
      <c r="C223" s="133" t="str">
        <f t="shared" si="2"/>
        <v>segunda-feira</v>
      </c>
      <c r="D223" s="133" t="str">
        <f t="shared" si="3"/>
        <v>sim</v>
      </c>
      <c r="E223" s="133" t="str">
        <f t="shared" si="4"/>
        <v/>
      </c>
      <c r="F223" s="133" t="str">
        <f t="shared" si="5"/>
        <v/>
      </c>
      <c r="G223" s="133" t="str">
        <f t="shared" si="6"/>
        <v/>
      </c>
      <c r="H223" s="133" t="str">
        <f t="shared" si="10"/>
        <v/>
      </c>
      <c r="I223" s="133" t="str">
        <f t="shared" si="7"/>
        <v/>
      </c>
      <c r="J223" s="133" t="str">
        <f t="shared" si="8"/>
        <v/>
      </c>
      <c r="K223" s="138" t="s">
        <v>278</v>
      </c>
      <c r="L223" s="136"/>
    </row>
    <row r="224">
      <c r="A224" s="134">
        <v>46245.0</v>
      </c>
      <c r="B224" s="133">
        <f t="shared" si="1"/>
        <v>3</v>
      </c>
      <c r="C224" s="133" t="str">
        <f t="shared" si="2"/>
        <v>terça-feira</v>
      </c>
      <c r="D224" s="133" t="str">
        <f t="shared" si="3"/>
        <v>sim</v>
      </c>
      <c r="E224" s="133" t="str">
        <f t="shared" si="4"/>
        <v/>
      </c>
      <c r="F224" s="133" t="str">
        <f t="shared" si="5"/>
        <v/>
      </c>
      <c r="G224" s="133" t="str">
        <f t="shared" si="6"/>
        <v/>
      </c>
      <c r="H224" s="133" t="str">
        <f t="shared" si="10"/>
        <v/>
      </c>
      <c r="I224" s="133" t="str">
        <f t="shared" si="7"/>
        <v/>
      </c>
      <c r="J224" s="133" t="str">
        <f t="shared" si="8"/>
        <v/>
      </c>
      <c r="K224" s="138" t="s">
        <v>278</v>
      </c>
      <c r="L224" s="136"/>
    </row>
    <row r="225">
      <c r="A225" s="134">
        <v>46246.0</v>
      </c>
      <c r="B225" s="133">
        <f t="shared" si="1"/>
        <v>4</v>
      </c>
      <c r="C225" s="133" t="str">
        <f t="shared" si="2"/>
        <v>quarta-feira</v>
      </c>
      <c r="D225" s="133" t="str">
        <f t="shared" si="3"/>
        <v>sim</v>
      </c>
      <c r="E225" s="133" t="str">
        <f t="shared" si="4"/>
        <v/>
      </c>
      <c r="F225" s="133" t="str">
        <f t="shared" si="5"/>
        <v/>
      </c>
      <c r="G225" s="133" t="str">
        <f t="shared" si="6"/>
        <v/>
      </c>
      <c r="H225" s="133" t="str">
        <f t="shared" si="10"/>
        <v/>
      </c>
      <c r="I225" s="133" t="str">
        <f t="shared" si="7"/>
        <v/>
      </c>
      <c r="J225" s="133" t="str">
        <f t="shared" si="8"/>
        <v/>
      </c>
      <c r="K225" s="138" t="s">
        <v>278</v>
      </c>
      <c r="L225" s="136"/>
    </row>
    <row r="226">
      <c r="A226" s="134">
        <v>46247.0</v>
      </c>
      <c r="B226" s="133">
        <f t="shared" si="1"/>
        <v>5</v>
      </c>
      <c r="C226" s="133" t="str">
        <f t="shared" si="2"/>
        <v>quinta-feira</v>
      </c>
      <c r="D226" s="133" t="str">
        <f t="shared" si="3"/>
        <v>sim</v>
      </c>
      <c r="E226" s="133" t="str">
        <f t="shared" si="4"/>
        <v/>
      </c>
      <c r="F226" s="133" t="str">
        <f t="shared" si="5"/>
        <v/>
      </c>
      <c r="G226" s="133" t="str">
        <f t="shared" si="6"/>
        <v/>
      </c>
      <c r="H226" s="133" t="str">
        <f t="shared" si="10"/>
        <v/>
      </c>
      <c r="I226" s="133" t="str">
        <f t="shared" si="7"/>
        <v/>
      </c>
      <c r="J226" s="133" t="str">
        <f t="shared" si="8"/>
        <v/>
      </c>
      <c r="K226" s="138" t="s">
        <v>278</v>
      </c>
      <c r="L226" s="136"/>
    </row>
    <row r="227">
      <c r="A227" s="134">
        <v>46248.0</v>
      </c>
      <c r="B227" s="133">
        <f t="shared" si="1"/>
        <v>6</v>
      </c>
      <c r="C227" s="133" t="str">
        <f t="shared" si="2"/>
        <v>sexta-feira</v>
      </c>
      <c r="D227" s="133" t="str">
        <f t="shared" si="3"/>
        <v>sim</v>
      </c>
      <c r="E227" s="133" t="str">
        <f t="shared" si="4"/>
        <v/>
      </c>
      <c r="F227" s="133" t="str">
        <f t="shared" si="5"/>
        <v/>
      </c>
      <c r="G227" s="133" t="str">
        <f t="shared" si="6"/>
        <v/>
      </c>
      <c r="H227" s="133" t="str">
        <f t="shared" si="10"/>
        <v/>
      </c>
      <c r="I227" s="133" t="str">
        <f t="shared" si="7"/>
        <v/>
      </c>
      <c r="J227" s="133" t="str">
        <f t="shared" si="8"/>
        <v/>
      </c>
      <c r="K227" s="138" t="s">
        <v>278</v>
      </c>
      <c r="L227" s="136"/>
    </row>
    <row r="228">
      <c r="A228" s="134">
        <v>46249.0</v>
      </c>
      <c r="B228" s="133">
        <f t="shared" si="1"/>
        <v>7</v>
      </c>
      <c r="C228" s="133" t="str">
        <f t="shared" si="2"/>
        <v>sábado</v>
      </c>
      <c r="D228" s="133" t="str">
        <f t="shared" si="3"/>
        <v>nao</v>
      </c>
      <c r="E228" s="133" t="str">
        <f t="shared" si="4"/>
        <v/>
      </c>
      <c r="F228" s="133" t="str">
        <f t="shared" si="5"/>
        <v/>
      </c>
      <c r="G228" s="133" t="str">
        <f t="shared" si="6"/>
        <v/>
      </c>
      <c r="H228" s="133" t="str">
        <f t="shared" si="10"/>
        <v/>
      </c>
      <c r="I228" s="133" t="str">
        <f t="shared" si="7"/>
        <v/>
      </c>
      <c r="J228" s="133" t="str">
        <f t="shared" si="8"/>
        <v/>
      </c>
      <c r="K228" s="139" t="str">
        <f t="shared" ref="K228:K229" si="29">IF(AND(D228="sim",E228="sim",F228="",G228="",H228="",I228="",J228=""),"sim","nao")
</f>
        <v>nao</v>
      </c>
      <c r="L228" s="136"/>
    </row>
    <row r="229">
      <c r="A229" s="134">
        <v>46250.0</v>
      </c>
      <c r="B229" s="133">
        <f t="shared" si="1"/>
        <v>1</v>
      </c>
      <c r="C229" s="133" t="str">
        <f t="shared" si="2"/>
        <v>domingo</v>
      </c>
      <c r="D229" s="133" t="str">
        <f t="shared" si="3"/>
        <v>nao</v>
      </c>
      <c r="E229" s="133" t="str">
        <f t="shared" si="4"/>
        <v/>
      </c>
      <c r="F229" s="133" t="str">
        <f t="shared" si="5"/>
        <v/>
      </c>
      <c r="G229" s="133" t="str">
        <f t="shared" si="6"/>
        <v/>
      </c>
      <c r="H229" s="133" t="str">
        <f t="shared" si="10"/>
        <v/>
      </c>
      <c r="I229" s="133" t="str">
        <f t="shared" si="7"/>
        <v/>
      </c>
      <c r="J229" s="133" t="str">
        <f t="shared" si="8"/>
        <v/>
      </c>
      <c r="K229" s="139" t="str">
        <f t="shared" si="29"/>
        <v>nao</v>
      </c>
      <c r="L229" s="136"/>
    </row>
    <row r="230">
      <c r="A230" s="134">
        <v>46251.0</v>
      </c>
      <c r="B230" s="133">
        <f t="shared" si="1"/>
        <v>2</v>
      </c>
      <c r="C230" s="133" t="str">
        <f t="shared" si="2"/>
        <v>segunda-feira</v>
      </c>
      <c r="D230" s="133" t="str">
        <f t="shared" si="3"/>
        <v>sim</v>
      </c>
      <c r="E230" s="133" t="str">
        <f t="shared" si="4"/>
        <v/>
      </c>
      <c r="F230" s="133" t="str">
        <f t="shared" si="5"/>
        <v/>
      </c>
      <c r="G230" s="133" t="str">
        <f t="shared" si="6"/>
        <v/>
      </c>
      <c r="H230" s="133" t="str">
        <f t="shared" si="10"/>
        <v/>
      </c>
      <c r="I230" s="133" t="str">
        <f t="shared" si="7"/>
        <v/>
      </c>
      <c r="J230" s="133" t="str">
        <f t="shared" si="8"/>
        <v/>
      </c>
      <c r="K230" s="138" t="s">
        <v>278</v>
      </c>
      <c r="L230" s="136"/>
    </row>
    <row r="231">
      <c r="A231" s="134">
        <v>46252.0</v>
      </c>
      <c r="B231" s="133">
        <f t="shared" si="1"/>
        <v>3</v>
      </c>
      <c r="C231" s="133" t="str">
        <f t="shared" si="2"/>
        <v>terça-feira</v>
      </c>
      <c r="D231" s="133" t="str">
        <f t="shared" si="3"/>
        <v>sim</v>
      </c>
      <c r="E231" s="133" t="str">
        <f t="shared" si="4"/>
        <v/>
      </c>
      <c r="F231" s="133" t="str">
        <f t="shared" si="5"/>
        <v/>
      </c>
      <c r="G231" s="133" t="str">
        <f t="shared" si="6"/>
        <v/>
      </c>
      <c r="H231" s="133" t="str">
        <f t="shared" si="10"/>
        <v/>
      </c>
      <c r="I231" s="133" t="str">
        <f t="shared" si="7"/>
        <v/>
      </c>
      <c r="J231" s="133" t="str">
        <f t="shared" si="8"/>
        <v/>
      </c>
      <c r="K231" s="138" t="s">
        <v>278</v>
      </c>
      <c r="L231" s="136"/>
    </row>
    <row r="232">
      <c r="A232" s="134">
        <v>46253.0</v>
      </c>
      <c r="B232" s="133">
        <f t="shared" si="1"/>
        <v>4</v>
      </c>
      <c r="C232" s="133" t="str">
        <f t="shared" si="2"/>
        <v>quarta-feira</v>
      </c>
      <c r="D232" s="133" t="str">
        <f t="shared" si="3"/>
        <v>sim</v>
      </c>
      <c r="E232" s="133" t="str">
        <f t="shared" si="4"/>
        <v/>
      </c>
      <c r="F232" s="133" t="str">
        <f t="shared" si="5"/>
        <v/>
      </c>
      <c r="G232" s="133" t="str">
        <f t="shared" si="6"/>
        <v/>
      </c>
      <c r="H232" s="133" t="str">
        <f t="shared" si="10"/>
        <v/>
      </c>
      <c r="I232" s="133" t="str">
        <f t="shared" si="7"/>
        <v/>
      </c>
      <c r="J232" s="133" t="str">
        <f t="shared" si="8"/>
        <v/>
      </c>
      <c r="K232" s="138" t="s">
        <v>278</v>
      </c>
      <c r="L232" s="136"/>
    </row>
    <row r="233">
      <c r="A233" s="134">
        <v>46254.0</v>
      </c>
      <c r="B233" s="133">
        <f t="shared" si="1"/>
        <v>5</v>
      </c>
      <c r="C233" s="133" t="str">
        <f t="shared" si="2"/>
        <v>quinta-feira</v>
      </c>
      <c r="D233" s="133" t="str">
        <f t="shared" si="3"/>
        <v>sim</v>
      </c>
      <c r="E233" s="133" t="str">
        <f t="shared" si="4"/>
        <v/>
      </c>
      <c r="F233" s="133" t="str">
        <f t="shared" si="5"/>
        <v/>
      </c>
      <c r="G233" s="133" t="str">
        <f t="shared" si="6"/>
        <v/>
      </c>
      <c r="H233" s="133" t="str">
        <f t="shared" si="10"/>
        <v/>
      </c>
      <c r="I233" s="133" t="str">
        <f t="shared" si="7"/>
        <v/>
      </c>
      <c r="J233" s="133" t="str">
        <f t="shared" si="8"/>
        <v/>
      </c>
      <c r="K233" s="138" t="s">
        <v>278</v>
      </c>
      <c r="L233" s="136"/>
    </row>
    <row r="234">
      <c r="A234" s="134">
        <v>46255.0</v>
      </c>
      <c r="B234" s="133">
        <f t="shared" si="1"/>
        <v>6</v>
      </c>
      <c r="C234" s="133" t="str">
        <f t="shared" si="2"/>
        <v>sexta-feira</v>
      </c>
      <c r="D234" s="133" t="str">
        <f t="shared" si="3"/>
        <v>sim</v>
      </c>
      <c r="E234" s="133" t="str">
        <f t="shared" si="4"/>
        <v/>
      </c>
      <c r="F234" s="133" t="str">
        <f t="shared" si="5"/>
        <v/>
      </c>
      <c r="G234" s="133" t="str">
        <f t="shared" si="6"/>
        <v/>
      </c>
      <c r="H234" s="133" t="str">
        <f t="shared" si="10"/>
        <v/>
      </c>
      <c r="I234" s="133" t="str">
        <f t="shared" si="7"/>
        <v/>
      </c>
      <c r="J234" s="133" t="str">
        <f t="shared" si="8"/>
        <v/>
      </c>
      <c r="K234" s="138" t="s">
        <v>278</v>
      </c>
      <c r="L234" s="136"/>
    </row>
    <row r="235">
      <c r="A235" s="134">
        <v>46256.0</v>
      </c>
      <c r="B235" s="133">
        <f t="shared" si="1"/>
        <v>7</v>
      </c>
      <c r="C235" s="133" t="str">
        <f t="shared" si="2"/>
        <v>sábado</v>
      </c>
      <c r="D235" s="133" t="str">
        <f t="shared" si="3"/>
        <v>nao</v>
      </c>
      <c r="E235" s="133" t="str">
        <f t="shared" si="4"/>
        <v/>
      </c>
      <c r="F235" s="133" t="str">
        <f t="shared" si="5"/>
        <v/>
      </c>
      <c r="G235" s="133" t="str">
        <f t="shared" si="6"/>
        <v/>
      </c>
      <c r="H235" s="133" t="str">
        <f t="shared" si="10"/>
        <v/>
      </c>
      <c r="I235" s="133" t="str">
        <f t="shared" si="7"/>
        <v/>
      </c>
      <c r="J235" s="133" t="str">
        <f t="shared" si="8"/>
        <v/>
      </c>
      <c r="K235" s="139" t="str">
        <f t="shared" ref="K235:K236" si="30">IF(AND(D235="sim",E235="sim",F235="",G235="",H235="",I235="",J235=""),"sim","nao")
</f>
        <v>nao</v>
      </c>
      <c r="L235" s="136"/>
    </row>
    <row r="236">
      <c r="A236" s="134">
        <v>46257.0</v>
      </c>
      <c r="B236" s="133">
        <f t="shared" si="1"/>
        <v>1</v>
      </c>
      <c r="C236" s="133" t="str">
        <f t="shared" si="2"/>
        <v>domingo</v>
      </c>
      <c r="D236" s="133" t="str">
        <f t="shared" si="3"/>
        <v>nao</v>
      </c>
      <c r="E236" s="133" t="str">
        <f t="shared" si="4"/>
        <v/>
      </c>
      <c r="F236" s="133" t="str">
        <f t="shared" si="5"/>
        <v/>
      </c>
      <c r="G236" s="133" t="str">
        <f t="shared" si="6"/>
        <v/>
      </c>
      <c r="H236" s="133" t="str">
        <f t="shared" si="10"/>
        <v/>
      </c>
      <c r="I236" s="133" t="str">
        <f t="shared" si="7"/>
        <v/>
      </c>
      <c r="J236" s="133" t="str">
        <f t="shared" si="8"/>
        <v/>
      </c>
      <c r="K236" s="139" t="str">
        <f t="shared" si="30"/>
        <v>nao</v>
      </c>
      <c r="L236" s="136"/>
    </row>
    <row r="237">
      <c r="A237" s="134">
        <v>46258.0</v>
      </c>
      <c r="B237" s="133">
        <f t="shared" si="1"/>
        <v>2</v>
      </c>
      <c r="C237" s="133" t="str">
        <f t="shared" si="2"/>
        <v>segunda-feira</v>
      </c>
      <c r="D237" s="133" t="str">
        <f t="shared" si="3"/>
        <v>sim</v>
      </c>
      <c r="E237" s="133" t="str">
        <f t="shared" si="4"/>
        <v/>
      </c>
      <c r="F237" s="133" t="str">
        <f t="shared" si="5"/>
        <v/>
      </c>
      <c r="G237" s="133" t="str">
        <f t="shared" si="6"/>
        <v/>
      </c>
      <c r="H237" s="133" t="str">
        <f t="shared" si="10"/>
        <v/>
      </c>
      <c r="I237" s="133" t="str">
        <f t="shared" si="7"/>
        <v/>
      </c>
      <c r="J237" s="133" t="str">
        <f t="shared" si="8"/>
        <v/>
      </c>
      <c r="K237" s="138" t="s">
        <v>278</v>
      </c>
      <c r="L237" s="136"/>
    </row>
    <row r="238">
      <c r="A238" s="134">
        <v>46259.0</v>
      </c>
      <c r="B238" s="133">
        <f t="shared" si="1"/>
        <v>3</v>
      </c>
      <c r="C238" s="133" t="str">
        <f t="shared" si="2"/>
        <v>terça-feira</v>
      </c>
      <c r="D238" s="133" t="str">
        <f t="shared" si="3"/>
        <v>sim</v>
      </c>
      <c r="E238" s="133" t="str">
        <f t="shared" si="4"/>
        <v/>
      </c>
      <c r="F238" s="133" t="str">
        <f t="shared" si="5"/>
        <v/>
      </c>
      <c r="G238" s="133" t="str">
        <f t="shared" si="6"/>
        <v/>
      </c>
      <c r="H238" s="133" t="str">
        <f t="shared" si="10"/>
        <v/>
      </c>
      <c r="I238" s="133" t="str">
        <f t="shared" si="7"/>
        <v/>
      </c>
      <c r="J238" s="133" t="str">
        <f t="shared" si="8"/>
        <v/>
      </c>
      <c r="K238" s="138" t="s">
        <v>278</v>
      </c>
      <c r="L238" s="136"/>
    </row>
    <row r="239">
      <c r="A239" s="134">
        <v>46260.0</v>
      </c>
      <c r="B239" s="133">
        <f t="shared" si="1"/>
        <v>4</v>
      </c>
      <c r="C239" s="133" t="str">
        <f t="shared" si="2"/>
        <v>quarta-feira</v>
      </c>
      <c r="D239" s="133" t="str">
        <f t="shared" si="3"/>
        <v>sim</v>
      </c>
      <c r="E239" s="133" t="str">
        <f t="shared" si="4"/>
        <v/>
      </c>
      <c r="F239" s="133" t="str">
        <f t="shared" si="5"/>
        <v/>
      </c>
      <c r="G239" s="133" t="str">
        <f t="shared" si="6"/>
        <v/>
      </c>
      <c r="H239" s="133" t="str">
        <f t="shared" si="10"/>
        <v/>
      </c>
      <c r="I239" s="133" t="str">
        <f t="shared" si="7"/>
        <v/>
      </c>
      <c r="J239" s="133" t="str">
        <f t="shared" si="8"/>
        <v/>
      </c>
      <c r="K239" s="138" t="s">
        <v>278</v>
      </c>
      <c r="L239" s="136"/>
    </row>
    <row r="240">
      <c r="A240" s="134">
        <v>46261.0</v>
      </c>
      <c r="B240" s="133">
        <f t="shared" si="1"/>
        <v>5</v>
      </c>
      <c r="C240" s="133" t="str">
        <f t="shared" si="2"/>
        <v>quinta-feira</v>
      </c>
      <c r="D240" s="133" t="str">
        <f t="shared" si="3"/>
        <v>sim</v>
      </c>
      <c r="E240" s="133" t="str">
        <f t="shared" si="4"/>
        <v/>
      </c>
      <c r="F240" s="133" t="str">
        <f t="shared" si="5"/>
        <v/>
      </c>
      <c r="G240" s="133" t="str">
        <f t="shared" si="6"/>
        <v/>
      </c>
      <c r="H240" s="133" t="str">
        <f t="shared" si="10"/>
        <v/>
      </c>
      <c r="I240" s="133" t="str">
        <f t="shared" si="7"/>
        <v/>
      </c>
      <c r="J240" s="133" t="str">
        <f t="shared" si="8"/>
        <v/>
      </c>
      <c r="K240" s="138" t="s">
        <v>278</v>
      </c>
      <c r="L240" s="136"/>
    </row>
    <row r="241">
      <c r="A241" s="134">
        <v>46262.0</v>
      </c>
      <c r="B241" s="133">
        <f t="shared" si="1"/>
        <v>6</v>
      </c>
      <c r="C241" s="133" t="str">
        <f t="shared" si="2"/>
        <v>sexta-feira</v>
      </c>
      <c r="D241" s="133" t="str">
        <f t="shared" si="3"/>
        <v>sim</v>
      </c>
      <c r="E241" s="133" t="str">
        <f t="shared" si="4"/>
        <v/>
      </c>
      <c r="F241" s="133" t="str">
        <f t="shared" si="5"/>
        <v/>
      </c>
      <c r="G241" s="133" t="str">
        <f t="shared" si="6"/>
        <v/>
      </c>
      <c r="H241" s="133" t="str">
        <f t="shared" si="10"/>
        <v/>
      </c>
      <c r="I241" s="133" t="str">
        <f t="shared" si="7"/>
        <v/>
      </c>
      <c r="J241" s="133" t="str">
        <f t="shared" si="8"/>
        <v/>
      </c>
      <c r="K241" s="138" t="s">
        <v>278</v>
      </c>
      <c r="L241" s="136"/>
    </row>
    <row r="242">
      <c r="A242" s="134">
        <v>46263.0</v>
      </c>
      <c r="B242" s="133">
        <f t="shared" si="1"/>
        <v>7</v>
      </c>
      <c r="C242" s="133" t="str">
        <f t="shared" si="2"/>
        <v>sábado</v>
      </c>
      <c r="D242" s="133" t="str">
        <f t="shared" si="3"/>
        <v>nao</v>
      </c>
      <c r="E242" s="133" t="str">
        <f t="shared" si="4"/>
        <v>sim</v>
      </c>
      <c r="F242" s="133" t="str">
        <f t="shared" si="5"/>
        <v/>
      </c>
      <c r="G242" s="133" t="str">
        <f t="shared" si="6"/>
        <v/>
      </c>
      <c r="H242" s="133" t="str">
        <f t="shared" si="10"/>
        <v/>
      </c>
      <c r="I242" s="133" t="str">
        <f t="shared" si="7"/>
        <v/>
      </c>
      <c r="J242" s="133" t="str">
        <f t="shared" si="8"/>
        <v/>
      </c>
      <c r="K242" s="138" t="s">
        <v>278</v>
      </c>
      <c r="L242" s="136"/>
    </row>
    <row r="243">
      <c r="A243" s="134">
        <v>46264.0</v>
      </c>
      <c r="B243" s="133">
        <f t="shared" si="1"/>
        <v>1</v>
      </c>
      <c r="C243" s="133" t="str">
        <f t="shared" si="2"/>
        <v>domingo</v>
      </c>
      <c r="D243" s="133" t="str">
        <f t="shared" si="3"/>
        <v>nao</v>
      </c>
      <c r="E243" s="133" t="str">
        <f t="shared" si="4"/>
        <v/>
      </c>
      <c r="F243" s="133" t="str">
        <f t="shared" si="5"/>
        <v/>
      </c>
      <c r="G243" s="133" t="str">
        <f t="shared" si="6"/>
        <v/>
      </c>
      <c r="H243" s="133" t="str">
        <f t="shared" si="10"/>
        <v/>
      </c>
      <c r="I243" s="133" t="str">
        <f t="shared" si="7"/>
        <v/>
      </c>
      <c r="J243" s="133" t="str">
        <f t="shared" si="8"/>
        <v/>
      </c>
      <c r="K243" s="139" t="str">
        <f>IF(AND(D243="sim",E243="sim",F243="",G243="",H243="",I243="",J243=""),"sim","nao")
</f>
        <v>nao</v>
      </c>
      <c r="L243" s="136"/>
    </row>
    <row r="244">
      <c r="A244" s="134">
        <v>46265.0</v>
      </c>
      <c r="B244" s="133">
        <f t="shared" si="1"/>
        <v>2</v>
      </c>
      <c r="C244" s="133" t="str">
        <f t="shared" si="2"/>
        <v>segunda-feira</v>
      </c>
      <c r="D244" s="133" t="str">
        <f t="shared" si="3"/>
        <v>sim</v>
      </c>
      <c r="E244" s="133" t="str">
        <f t="shared" si="4"/>
        <v/>
      </c>
      <c r="F244" s="133" t="str">
        <f t="shared" si="5"/>
        <v/>
      </c>
      <c r="G244" s="133" t="str">
        <f t="shared" si="6"/>
        <v/>
      </c>
      <c r="H244" s="133" t="str">
        <f t="shared" si="10"/>
        <v/>
      </c>
      <c r="I244" s="133" t="str">
        <f t="shared" si="7"/>
        <v/>
      </c>
      <c r="J244" s="133" t="str">
        <f t="shared" si="8"/>
        <v/>
      </c>
      <c r="K244" s="138" t="s">
        <v>278</v>
      </c>
      <c r="L244" s="136"/>
    </row>
    <row r="245">
      <c r="A245" s="134">
        <v>46266.0</v>
      </c>
      <c r="B245" s="133">
        <f t="shared" si="1"/>
        <v>3</v>
      </c>
      <c r="C245" s="133" t="str">
        <f t="shared" si="2"/>
        <v>terça-feira</v>
      </c>
      <c r="D245" s="133" t="str">
        <f t="shared" si="3"/>
        <v>sim</v>
      </c>
      <c r="E245" s="133" t="str">
        <f t="shared" si="4"/>
        <v/>
      </c>
      <c r="F245" s="133" t="str">
        <f t="shared" si="5"/>
        <v/>
      </c>
      <c r="G245" s="133" t="str">
        <f t="shared" si="6"/>
        <v/>
      </c>
      <c r="H245" s="133" t="str">
        <f t="shared" si="10"/>
        <v/>
      </c>
      <c r="I245" s="133" t="str">
        <f t="shared" si="7"/>
        <v/>
      </c>
      <c r="J245" s="133" t="str">
        <f t="shared" si="8"/>
        <v/>
      </c>
      <c r="K245" s="138" t="s">
        <v>278</v>
      </c>
      <c r="L245" s="136"/>
    </row>
    <row r="246">
      <c r="A246" s="134">
        <v>46267.0</v>
      </c>
      <c r="B246" s="133">
        <f t="shared" si="1"/>
        <v>4</v>
      </c>
      <c r="C246" s="133" t="str">
        <f t="shared" si="2"/>
        <v>quarta-feira</v>
      </c>
      <c r="D246" s="133" t="str">
        <f t="shared" si="3"/>
        <v>sim</v>
      </c>
      <c r="E246" s="133" t="str">
        <f t="shared" si="4"/>
        <v/>
      </c>
      <c r="F246" s="133" t="str">
        <f t="shared" si="5"/>
        <v/>
      </c>
      <c r="G246" s="133" t="str">
        <f t="shared" si="6"/>
        <v/>
      </c>
      <c r="H246" s="133" t="str">
        <f t="shared" si="10"/>
        <v/>
      </c>
      <c r="I246" s="133" t="str">
        <f t="shared" si="7"/>
        <v/>
      </c>
      <c r="J246" s="133" t="str">
        <f t="shared" si="8"/>
        <v/>
      </c>
      <c r="K246" s="138" t="s">
        <v>278</v>
      </c>
      <c r="L246" s="136"/>
    </row>
    <row r="247">
      <c r="A247" s="134">
        <v>46268.0</v>
      </c>
      <c r="B247" s="133">
        <f t="shared" si="1"/>
        <v>5</v>
      </c>
      <c r="C247" s="133" t="str">
        <f t="shared" si="2"/>
        <v>quinta-feira</v>
      </c>
      <c r="D247" s="133" t="str">
        <f t="shared" si="3"/>
        <v>sim</v>
      </c>
      <c r="E247" s="133" t="str">
        <f t="shared" si="4"/>
        <v/>
      </c>
      <c r="F247" s="133" t="str">
        <f t="shared" si="5"/>
        <v/>
      </c>
      <c r="G247" s="133" t="str">
        <f t="shared" si="6"/>
        <v/>
      </c>
      <c r="H247" s="133" t="str">
        <f t="shared" si="10"/>
        <v/>
      </c>
      <c r="I247" s="133" t="str">
        <f t="shared" si="7"/>
        <v/>
      </c>
      <c r="J247" s="133" t="str">
        <f t="shared" si="8"/>
        <v/>
      </c>
      <c r="K247" s="138" t="s">
        <v>278</v>
      </c>
      <c r="L247" s="136"/>
    </row>
    <row r="248">
      <c r="A248" s="134">
        <v>46269.0</v>
      </c>
      <c r="B248" s="133">
        <f t="shared" si="1"/>
        <v>6</v>
      </c>
      <c r="C248" s="133" t="str">
        <f t="shared" si="2"/>
        <v>sexta-feira</v>
      </c>
      <c r="D248" s="133" t="str">
        <f t="shared" si="3"/>
        <v>sim</v>
      </c>
      <c r="E248" s="133" t="str">
        <f t="shared" si="4"/>
        <v/>
      </c>
      <c r="F248" s="133" t="str">
        <f t="shared" si="5"/>
        <v/>
      </c>
      <c r="G248" s="133" t="str">
        <f t="shared" si="6"/>
        <v/>
      </c>
      <c r="H248" s="133" t="str">
        <f t="shared" si="10"/>
        <v/>
      </c>
      <c r="I248" s="133" t="str">
        <f t="shared" si="7"/>
        <v/>
      </c>
      <c r="J248" s="133" t="str">
        <f t="shared" si="8"/>
        <v/>
      </c>
      <c r="K248" s="138" t="s">
        <v>278</v>
      </c>
      <c r="L248" s="136"/>
    </row>
    <row r="249">
      <c r="A249" s="134">
        <v>46270.0</v>
      </c>
      <c r="B249" s="133">
        <f t="shared" si="1"/>
        <v>7</v>
      </c>
      <c r="C249" s="133" t="str">
        <f t="shared" si="2"/>
        <v>sábado</v>
      </c>
      <c r="D249" s="133" t="str">
        <f t="shared" si="3"/>
        <v>nao</v>
      </c>
      <c r="E249" s="133" t="str">
        <f t="shared" si="4"/>
        <v/>
      </c>
      <c r="F249" s="133" t="str">
        <f t="shared" si="5"/>
        <v/>
      </c>
      <c r="G249" s="133" t="str">
        <f t="shared" si="6"/>
        <v/>
      </c>
      <c r="H249" s="133" t="str">
        <f t="shared" si="10"/>
        <v/>
      </c>
      <c r="I249" s="133" t="str">
        <f t="shared" si="7"/>
        <v/>
      </c>
      <c r="J249" s="133" t="str">
        <f t="shared" si="8"/>
        <v/>
      </c>
      <c r="K249" s="139" t="str">
        <f t="shared" ref="K249:K251" si="31">IF(AND(D249="sim",E249="sim",F249="",G249="",H249="",I249="",J249=""),"sim","nao")
</f>
        <v>nao</v>
      </c>
      <c r="L249" s="136"/>
    </row>
    <row r="250">
      <c r="A250" s="134">
        <v>46271.0</v>
      </c>
      <c r="B250" s="133">
        <f t="shared" si="1"/>
        <v>1</v>
      </c>
      <c r="C250" s="133" t="str">
        <f t="shared" si="2"/>
        <v>domingo</v>
      </c>
      <c r="D250" s="133" t="str">
        <f t="shared" si="3"/>
        <v>nao</v>
      </c>
      <c r="E250" s="133" t="str">
        <f t="shared" si="4"/>
        <v/>
      </c>
      <c r="F250" s="133" t="str">
        <f t="shared" si="5"/>
        <v/>
      </c>
      <c r="G250" s="133" t="str">
        <f t="shared" si="6"/>
        <v/>
      </c>
      <c r="H250" s="133" t="str">
        <f t="shared" si="10"/>
        <v/>
      </c>
      <c r="I250" s="133" t="str">
        <f t="shared" si="7"/>
        <v/>
      </c>
      <c r="J250" s="133" t="str">
        <f t="shared" si="8"/>
        <v/>
      </c>
      <c r="K250" s="139" t="str">
        <f t="shared" si="31"/>
        <v>nao</v>
      </c>
      <c r="L250" s="136"/>
    </row>
    <row r="251">
      <c r="A251" s="134">
        <v>46272.0</v>
      </c>
      <c r="B251" s="133">
        <f t="shared" si="1"/>
        <v>2</v>
      </c>
      <c r="C251" s="133" t="str">
        <f t="shared" si="2"/>
        <v>segunda-feira</v>
      </c>
      <c r="D251" s="133" t="str">
        <f t="shared" si="3"/>
        <v>sim</v>
      </c>
      <c r="E251" s="133" t="str">
        <f t="shared" si="4"/>
        <v/>
      </c>
      <c r="F251" s="133" t="str">
        <f t="shared" si="5"/>
        <v>sim</v>
      </c>
      <c r="G251" s="133" t="str">
        <f t="shared" si="6"/>
        <v/>
      </c>
      <c r="H251" s="133" t="str">
        <f t="shared" si="10"/>
        <v/>
      </c>
      <c r="I251" s="133" t="str">
        <f t="shared" si="7"/>
        <v/>
      </c>
      <c r="J251" s="133" t="str">
        <f t="shared" si="8"/>
        <v/>
      </c>
      <c r="K251" s="139" t="str">
        <f t="shared" si="31"/>
        <v>nao</v>
      </c>
      <c r="L251" s="136"/>
    </row>
    <row r="252">
      <c r="A252" s="134">
        <v>46273.0</v>
      </c>
      <c r="B252" s="133">
        <f t="shared" si="1"/>
        <v>3</v>
      </c>
      <c r="C252" s="133" t="str">
        <f t="shared" si="2"/>
        <v>terça-feira</v>
      </c>
      <c r="D252" s="133" t="str">
        <f t="shared" si="3"/>
        <v>sim</v>
      </c>
      <c r="E252" s="133" t="str">
        <f t="shared" si="4"/>
        <v/>
      </c>
      <c r="F252" s="133" t="str">
        <f t="shared" si="5"/>
        <v/>
      </c>
      <c r="G252" s="133" t="str">
        <f t="shared" si="6"/>
        <v/>
      </c>
      <c r="H252" s="133" t="str">
        <f t="shared" si="10"/>
        <v/>
      </c>
      <c r="I252" s="133" t="str">
        <f t="shared" si="7"/>
        <v/>
      </c>
      <c r="J252" s="133" t="str">
        <f t="shared" si="8"/>
        <v/>
      </c>
      <c r="K252" s="138" t="s">
        <v>278</v>
      </c>
      <c r="L252" s="136"/>
    </row>
    <row r="253">
      <c r="A253" s="134">
        <v>46274.0</v>
      </c>
      <c r="B253" s="133">
        <f t="shared" si="1"/>
        <v>4</v>
      </c>
      <c r="C253" s="133" t="str">
        <f t="shared" si="2"/>
        <v>quarta-feira</v>
      </c>
      <c r="D253" s="133" t="str">
        <f t="shared" si="3"/>
        <v>sim</v>
      </c>
      <c r="E253" s="133" t="str">
        <f t="shared" si="4"/>
        <v/>
      </c>
      <c r="F253" s="133" t="str">
        <f t="shared" si="5"/>
        <v/>
      </c>
      <c r="G253" s="133" t="str">
        <f t="shared" si="6"/>
        <v/>
      </c>
      <c r="H253" s="133" t="str">
        <f t="shared" si="10"/>
        <v/>
      </c>
      <c r="I253" s="133" t="str">
        <f t="shared" si="7"/>
        <v/>
      </c>
      <c r="J253" s="133" t="str">
        <f t="shared" si="8"/>
        <v/>
      </c>
      <c r="K253" s="138" t="s">
        <v>278</v>
      </c>
      <c r="L253" s="136"/>
    </row>
    <row r="254">
      <c r="A254" s="134">
        <v>46275.0</v>
      </c>
      <c r="B254" s="133">
        <f t="shared" si="1"/>
        <v>5</v>
      </c>
      <c r="C254" s="133" t="str">
        <f t="shared" si="2"/>
        <v>quinta-feira</v>
      </c>
      <c r="D254" s="133" t="str">
        <f t="shared" si="3"/>
        <v>sim</v>
      </c>
      <c r="E254" s="133" t="str">
        <f t="shared" si="4"/>
        <v/>
      </c>
      <c r="F254" s="133" t="str">
        <f t="shared" si="5"/>
        <v/>
      </c>
      <c r="G254" s="133" t="str">
        <f t="shared" si="6"/>
        <v/>
      </c>
      <c r="H254" s="133" t="str">
        <f t="shared" si="10"/>
        <v/>
      </c>
      <c r="I254" s="133" t="str">
        <f t="shared" si="7"/>
        <v/>
      </c>
      <c r="J254" s="133" t="str">
        <f t="shared" si="8"/>
        <v/>
      </c>
      <c r="K254" s="138" t="s">
        <v>278</v>
      </c>
      <c r="L254" s="136"/>
    </row>
    <row r="255">
      <c r="A255" s="134">
        <v>46276.0</v>
      </c>
      <c r="B255" s="133">
        <f t="shared" si="1"/>
        <v>6</v>
      </c>
      <c r="C255" s="133" t="str">
        <f t="shared" si="2"/>
        <v>sexta-feira</v>
      </c>
      <c r="D255" s="133" t="str">
        <f t="shared" si="3"/>
        <v>sim</v>
      </c>
      <c r="E255" s="133" t="str">
        <f t="shared" si="4"/>
        <v/>
      </c>
      <c r="F255" s="133" t="str">
        <f t="shared" si="5"/>
        <v/>
      </c>
      <c r="G255" s="133" t="str">
        <f t="shared" si="6"/>
        <v/>
      </c>
      <c r="H255" s="133" t="str">
        <f t="shared" si="10"/>
        <v/>
      </c>
      <c r="I255" s="133" t="str">
        <f t="shared" si="7"/>
        <v/>
      </c>
      <c r="J255" s="133" t="str">
        <f t="shared" si="8"/>
        <v/>
      </c>
      <c r="K255" s="138" t="s">
        <v>278</v>
      </c>
      <c r="L255" s="136"/>
    </row>
    <row r="256">
      <c r="A256" s="134">
        <v>46277.0</v>
      </c>
      <c r="B256" s="133">
        <f t="shared" si="1"/>
        <v>7</v>
      </c>
      <c r="C256" s="133" t="str">
        <f t="shared" si="2"/>
        <v>sábado</v>
      </c>
      <c r="D256" s="133" t="str">
        <f t="shared" si="3"/>
        <v>nao</v>
      </c>
      <c r="E256" s="133" t="str">
        <f t="shared" si="4"/>
        <v/>
      </c>
      <c r="F256" s="133" t="str">
        <f t="shared" si="5"/>
        <v/>
      </c>
      <c r="G256" s="133" t="str">
        <f t="shared" si="6"/>
        <v/>
      </c>
      <c r="H256" s="133" t="str">
        <f t="shared" si="10"/>
        <v/>
      </c>
      <c r="I256" s="133" t="str">
        <f t="shared" si="7"/>
        <v/>
      </c>
      <c r="J256" s="133" t="str">
        <f t="shared" si="8"/>
        <v/>
      </c>
      <c r="K256" s="139" t="str">
        <f t="shared" ref="K256:K257" si="32">IF(AND(D256="sim",E256="sim",F256="",G256="",H256="",I256="",J256=""),"sim","nao")
</f>
        <v>nao</v>
      </c>
      <c r="L256" s="136"/>
    </row>
    <row r="257">
      <c r="A257" s="134">
        <v>46278.0</v>
      </c>
      <c r="B257" s="133">
        <f t="shared" si="1"/>
        <v>1</v>
      </c>
      <c r="C257" s="133" t="str">
        <f t="shared" si="2"/>
        <v>domingo</v>
      </c>
      <c r="D257" s="133" t="str">
        <f t="shared" si="3"/>
        <v>nao</v>
      </c>
      <c r="E257" s="133" t="str">
        <f t="shared" si="4"/>
        <v/>
      </c>
      <c r="F257" s="133" t="str">
        <f t="shared" si="5"/>
        <v/>
      </c>
      <c r="G257" s="133" t="str">
        <f t="shared" si="6"/>
        <v/>
      </c>
      <c r="H257" s="133" t="str">
        <f t="shared" si="10"/>
        <v/>
      </c>
      <c r="I257" s="133" t="str">
        <f t="shared" si="7"/>
        <v/>
      </c>
      <c r="J257" s="133" t="str">
        <f t="shared" si="8"/>
        <v/>
      </c>
      <c r="K257" s="139" t="str">
        <f t="shared" si="32"/>
        <v>nao</v>
      </c>
      <c r="L257" s="136"/>
    </row>
    <row r="258">
      <c r="A258" s="134">
        <v>46279.0</v>
      </c>
      <c r="B258" s="133">
        <f t="shared" si="1"/>
        <v>2</v>
      </c>
      <c r="C258" s="133" t="str">
        <f t="shared" si="2"/>
        <v>segunda-feira</v>
      </c>
      <c r="D258" s="133" t="str">
        <f t="shared" si="3"/>
        <v>sim</v>
      </c>
      <c r="E258" s="133" t="str">
        <f t="shared" si="4"/>
        <v/>
      </c>
      <c r="F258" s="133" t="str">
        <f t="shared" si="5"/>
        <v/>
      </c>
      <c r="G258" s="133" t="str">
        <f t="shared" si="6"/>
        <v/>
      </c>
      <c r="H258" s="133" t="str">
        <f t="shared" si="10"/>
        <v/>
      </c>
      <c r="I258" s="133" t="str">
        <f t="shared" si="7"/>
        <v/>
      </c>
      <c r="J258" s="133" t="str">
        <f t="shared" si="8"/>
        <v/>
      </c>
      <c r="K258" s="138" t="s">
        <v>278</v>
      </c>
      <c r="L258" s="136"/>
    </row>
    <row r="259">
      <c r="A259" s="134">
        <v>46280.0</v>
      </c>
      <c r="B259" s="133">
        <f t="shared" si="1"/>
        <v>3</v>
      </c>
      <c r="C259" s="133" t="str">
        <f t="shared" si="2"/>
        <v>terça-feira</v>
      </c>
      <c r="D259" s="133" t="str">
        <f t="shared" si="3"/>
        <v>sim</v>
      </c>
      <c r="E259" s="133" t="str">
        <f t="shared" si="4"/>
        <v/>
      </c>
      <c r="F259" s="133" t="str">
        <f t="shared" si="5"/>
        <v/>
      </c>
      <c r="G259" s="133" t="str">
        <f t="shared" si="6"/>
        <v/>
      </c>
      <c r="H259" s="133" t="str">
        <f t="shared" si="10"/>
        <v/>
      </c>
      <c r="I259" s="133" t="str">
        <f t="shared" si="7"/>
        <v/>
      </c>
      <c r="J259" s="133" t="str">
        <f t="shared" si="8"/>
        <v/>
      </c>
      <c r="K259" s="138" t="s">
        <v>278</v>
      </c>
      <c r="L259" s="136"/>
    </row>
    <row r="260">
      <c r="A260" s="134">
        <v>46281.0</v>
      </c>
      <c r="B260" s="133">
        <f t="shared" si="1"/>
        <v>4</v>
      </c>
      <c r="C260" s="133" t="str">
        <f t="shared" si="2"/>
        <v>quarta-feira</v>
      </c>
      <c r="D260" s="133" t="str">
        <f t="shared" si="3"/>
        <v>sim</v>
      </c>
      <c r="E260" s="133" t="str">
        <f t="shared" si="4"/>
        <v/>
      </c>
      <c r="F260" s="133" t="str">
        <f t="shared" si="5"/>
        <v/>
      </c>
      <c r="G260" s="133" t="str">
        <f t="shared" si="6"/>
        <v/>
      </c>
      <c r="H260" s="133" t="str">
        <f t="shared" si="10"/>
        <v/>
      </c>
      <c r="I260" s="133" t="str">
        <f t="shared" si="7"/>
        <v/>
      </c>
      <c r="J260" s="133" t="str">
        <f t="shared" si="8"/>
        <v/>
      </c>
      <c r="K260" s="138" t="s">
        <v>278</v>
      </c>
      <c r="L260" s="136"/>
    </row>
    <row r="261">
      <c r="A261" s="134">
        <v>46282.0</v>
      </c>
      <c r="B261" s="133">
        <f t="shared" si="1"/>
        <v>5</v>
      </c>
      <c r="C261" s="133" t="str">
        <f t="shared" si="2"/>
        <v>quinta-feira</v>
      </c>
      <c r="D261" s="133" t="str">
        <f t="shared" si="3"/>
        <v>sim</v>
      </c>
      <c r="E261" s="133" t="str">
        <f t="shared" si="4"/>
        <v/>
      </c>
      <c r="F261" s="133" t="str">
        <f t="shared" si="5"/>
        <v/>
      </c>
      <c r="G261" s="133" t="str">
        <f t="shared" si="6"/>
        <v/>
      </c>
      <c r="H261" s="133" t="str">
        <f t="shared" si="10"/>
        <v/>
      </c>
      <c r="I261" s="133" t="str">
        <f t="shared" si="7"/>
        <v/>
      </c>
      <c r="J261" s="133" t="str">
        <f t="shared" si="8"/>
        <v/>
      </c>
      <c r="K261" s="138" t="s">
        <v>278</v>
      </c>
      <c r="L261" s="136"/>
    </row>
    <row r="262">
      <c r="A262" s="134">
        <v>46283.0</v>
      </c>
      <c r="B262" s="133">
        <f t="shared" si="1"/>
        <v>6</v>
      </c>
      <c r="C262" s="133" t="str">
        <f t="shared" si="2"/>
        <v>sexta-feira</v>
      </c>
      <c r="D262" s="133" t="str">
        <f t="shared" si="3"/>
        <v>sim</v>
      </c>
      <c r="E262" s="133" t="str">
        <f t="shared" si="4"/>
        <v/>
      </c>
      <c r="F262" s="133" t="str">
        <f t="shared" si="5"/>
        <v/>
      </c>
      <c r="G262" s="133" t="str">
        <f t="shared" si="6"/>
        <v/>
      </c>
      <c r="H262" s="133" t="str">
        <f t="shared" si="10"/>
        <v/>
      </c>
      <c r="I262" s="133" t="str">
        <f t="shared" si="7"/>
        <v/>
      </c>
      <c r="J262" s="133" t="str">
        <f t="shared" si="8"/>
        <v/>
      </c>
      <c r="K262" s="138" t="s">
        <v>278</v>
      </c>
      <c r="L262" s="136"/>
    </row>
    <row r="263">
      <c r="A263" s="134">
        <v>46284.0</v>
      </c>
      <c r="B263" s="133">
        <f t="shared" si="1"/>
        <v>7</v>
      </c>
      <c r="C263" s="133" t="str">
        <f t="shared" si="2"/>
        <v>sábado</v>
      </c>
      <c r="D263" s="133" t="str">
        <f t="shared" si="3"/>
        <v>nao</v>
      </c>
      <c r="E263" s="133" t="str">
        <f t="shared" si="4"/>
        <v>sim</v>
      </c>
      <c r="F263" s="133" t="str">
        <f t="shared" si="5"/>
        <v/>
      </c>
      <c r="G263" s="133" t="str">
        <f t="shared" si="6"/>
        <v/>
      </c>
      <c r="H263" s="133" t="str">
        <f t="shared" si="10"/>
        <v/>
      </c>
      <c r="I263" s="133" t="str">
        <f t="shared" si="7"/>
        <v/>
      </c>
      <c r="J263" s="133" t="str">
        <f t="shared" si="8"/>
        <v/>
      </c>
      <c r="K263" s="138" t="s">
        <v>278</v>
      </c>
      <c r="L263" s="136"/>
    </row>
    <row r="264">
      <c r="A264" s="134">
        <v>46285.0</v>
      </c>
      <c r="B264" s="133">
        <f t="shared" si="1"/>
        <v>1</v>
      </c>
      <c r="C264" s="133" t="str">
        <f t="shared" si="2"/>
        <v>domingo</v>
      </c>
      <c r="D264" s="133" t="str">
        <f t="shared" si="3"/>
        <v>nao</v>
      </c>
      <c r="E264" s="133" t="str">
        <f t="shared" si="4"/>
        <v/>
      </c>
      <c r="F264" s="133" t="str">
        <f t="shared" si="5"/>
        <v/>
      </c>
      <c r="G264" s="133" t="str">
        <f t="shared" si="6"/>
        <v/>
      </c>
      <c r="H264" s="133" t="str">
        <f t="shared" si="10"/>
        <v/>
      </c>
      <c r="I264" s="133" t="str">
        <f t="shared" si="7"/>
        <v/>
      </c>
      <c r="J264" s="133" t="str">
        <f t="shared" si="8"/>
        <v/>
      </c>
      <c r="K264" s="139" t="str">
        <f>IF(AND(D264="sim",E264="sim",F264="",G264="",H264="",I264="",J264=""),"sim","nao")
</f>
        <v>nao</v>
      </c>
      <c r="L264" s="136"/>
    </row>
    <row r="265">
      <c r="A265" s="134">
        <v>46286.0</v>
      </c>
      <c r="B265" s="133">
        <f t="shared" si="1"/>
        <v>2</v>
      </c>
      <c r="C265" s="133" t="str">
        <f t="shared" si="2"/>
        <v>segunda-feira</v>
      </c>
      <c r="D265" s="133" t="str">
        <f t="shared" si="3"/>
        <v>sim</v>
      </c>
      <c r="E265" s="133" t="str">
        <f t="shared" si="4"/>
        <v/>
      </c>
      <c r="F265" s="133" t="str">
        <f t="shared" si="5"/>
        <v/>
      </c>
      <c r="G265" s="133" t="str">
        <f t="shared" si="6"/>
        <v/>
      </c>
      <c r="H265" s="133" t="str">
        <f t="shared" si="10"/>
        <v/>
      </c>
      <c r="I265" s="133" t="str">
        <f t="shared" si="7"/>
        <v/>
      </c>
      <c r="J265" s="133" t="str">
        <f t="shared" si="8"/>
        <v/>
      </c>
      <c r="K265" s="138" t="s">
        <v>278</v>
      </c>
      <c r="L265" s="136"/>
    </row>
    <row r="266">
      <c r="A266" s="134">
        <v>46287.0</v>
      </c>
      <c r="B266" s="133">
        <f t="shared" si="1"/>
        <v>3</v>
      </c>
      <c r="C266" s="133" t="str">
        <f t="shared" si="2"/>
        <v>terça-feira</v>
      </c>
      <c r="D266" s="133" t="str">
        <f t="shared" si="3"/>
        <v>sim</v>
      </c>
      <c r="E266" s="133" t="str">
        <f t="shared" si="4"/>
        <v/>
      </c>
      <c r="F266" s="133" t="str">
        <f t="shared" si="5"/>
        <v/>
      </c>
      <c r="G266" s="133" t="str">
        <f t="shared" si="6"/>
        <v/>
      </c>
      <c r="H266" s="133" t="str">
        <f t="shared" si="10"/>
        <v/>
      </c>
      <c r="I266" s="133" t="str">
        <f t="shared" si="7"/>
        <v/>
      </c>
      <c r="J266" s="133" t="str">
        <f t="shared" si="8"/>
        <v/>
      </c>
      <c r="K266" s="138" t="s">
        <v>278</v>
      </c>
      <c r="L266" s="136"/>
    </row>
    <row r="267">
      <c r="A267" s="134">
        <v>46288.0</v>
      </c>
      <c r="B267" s="133">
        <f t="shared" si="1"/>
        <v>4</v>
      </c>
      <c r="C267" s="133" t="str">
        <f t="shared" si="2"/>
        <v>quarta-feira</v>
      </c>
      <c r="D267" s="133" t="str">
        <f t="shared" si="3"/>
        <v>sim</v>
      </c>
      <c r="E267" s="133" t="str">
        <f t="shared" si="4"/>
        <v/>
      </c>
      <c r="F267" s="133" t="str">
        <f t="shared" si="5"/>
        <v/>
      </c>
      <c r="G267" s="133" t="str">
        <f t="shared" si="6"/>
        <v/>
      </c>
      <c r="H267" s="133" t="str">
        <f t="shared" si="10"/>
        <v/>
      </c>
      <c r="I267" s="133" t="str">
        <f t="shared" si="7"/>
        <v/>
      </c>
      <c r="J267" s="133" t="str">
        <f t="shared" si="8"/>
        <v/>
      </c>
      <c r="K267" s="138" t="s">
        <v>278</v>
      </c>
      <c r="L267" s="136"/>
    </row>
    <row r="268">
      <c r="A268" s="134">
        <v>46289.0</v>
      </c>
      <c r="B268" s="133">
        <f t="shared" si="1"/>
        <v>5</v>
      </c>
      <c r="C268" s="133" t="str">
        <f t="shared" si="2"/>
        <v>quinta-feira</v>
      </c>
      <c r="D268" s="133" t="str">
        <f t="shared" si="3"/>
        <v>sim</v>
      </c>
      <c r="E268" s="133" t="str">
        <f t="shared" si="4"/>
        <v/>
      </c>
      <c r="F268" s="133" t="str">
        <f t="shared" si="5"/>
        <v/>
      </c>
      <c r="G268" s="133" t="str">
        <f t="shared" si="6"/>
        <v/>
      </c>
      <c r="H268" s="133" t="str">
        <f t="shared" si="10"/>
        <v/>
      </c>
      <c r="I268" s="133" t="str">
        <f t="shared" si="7"/>
        <v/>
      </c>
      <c r="J268" s="133" t="str">
        <f t="shared" si="8"/>
        <v/>
      </c>
      <c r="K268" s="138" t="s">
        <v>278</v>
      </c>
      <c r="L268" s="136"/>
    </row>
    <row r="269">
      <c r="A269" s="134">
        <v>46290.0</v>
      </c>
      <c r="B269" s="133">
        <f t="shared" si="1"/>
        <v>6</v>
      </c>
      <c r="C269" s="133" t="str">
        <f t="shared" si="2"/>
        <v>sexta-feira</v>
      </c>
      <c r="D269" s="133" t="str">
        <f t="shared" si="3"/>
        <v>sim</v>
      </c>
      <c r="E269" s="133" t="str">
        <f t="shared" si="4"/>
        <v/>
      </c>
      <c r="F269" s="133" t="str">
        <f t="shared" si="5"/>
        <v/>
      </c>
      <c r="G269" s="133" t="str">
        <f t="shared" si="6"/>
        <v/>
      </c>
      <c r="H269" s="133" t="str">
        <f t="shared" si="10"/>
        <v/>
      </c>
      <c r="I269" s="133" t="str">
        <f t="shared" si="7"/>
        <v/>
      </c>
      <c r="J269" s="133" t="str">
        <f t="shared" si="8"/>
        <v/>
      </c>
      <c r="K269" s="138" t="s">
        <v>278</v>
      </c>
      <c r="L269" s="136"/>
    </row>
    <row r="270">
      <c r="A270" s="134">
        <v>46291.0</v>
      </c>
      <c r="B270" s="133">
        <f t="shared" si="1"/>
        <v>7</v>
      </c>
      <c r="C270" s="133" t="str">
        <f t="shared" si="2"/>
        <v>sábado</v>
      </c>
      <c r="D270" s="133" t="str">
        <f t="shared" si="3"/>
        <v>nao</v>
      </c>
      <c r="E270" s="133" t="str">
        <f t="shared" si="4"/>
        <v/>
      </c>
      <c r="F270" s="133" t="str">
        <f t="shared" si="5"/>
        <v/>
      </c>
      <c r="G270" s="133" t="str">
        <f t="shared" si="6"/>
        <v/>
      </c>
      <c r="H270" s="133" t="str">
        <f t="shared" si="10"/>
        <v/>
      </c>
      <c r="I270" s="133" t="str">
        <f t="shared" si="7"/>
        <v/>
      </c>
      <c r="J270" s="133" t="str">
        <f t="shared" si="8"/>
        <v/>
      </c>
      <c r="K270" s="139" t="str">
        <f t="shared" ref="K270:K271" si="33">IF(AND(D270="sim",E270="sim",F270="",G270="",H270="",I270="",J270=""),"sim","nao")
</f>
        <v>nao</v>
      </c>
      <c r="L270" s="136"/>
    </row>
    <row r="271">
      <c r="A271" s="134">
        <v>46292.0</v>
      </c>
      <c r="B271" s="133">
        <f t="shared" si="1"/>
        <v>1</v>
      </c>
      <c r="C271" s="133" t="str">
        <f t="shared" si="2"/>
        <v>domingo</v>
      </c>
      <c r="D271" s="133" t="str">
        <f t="shared" si="3"/>
        <v>nao</v>
      </c>
      <c r="E271" s="133" t="str">
        <f t="shared" si="4"/>
        <v/>
      </c>
      <c r="F271" s="133" t="str">
        <f t="shared" si="5"/>
        <v/>
      </c>
      <c r="G271" s="133" t="str">
        <f t="shared" si="6"/>
        <v/>
      </c>
      <c r="H271" s="133" t="str">
        <f t="shared" si="10"/>
        <v/>
      </c>
      <c r="I271" s="133" t="str">
        <f t="shared" si="7"/>
        <v/>
      </c>
      <c r="J271" s="133" t="str">
        <f t="shared" si="8"/>
        <v/>
      </c>
      <c r="K271" s="139" t="str">
        <f t="shared" si="33"/>
        <v>nao</v>
      </c>
      <c r="L271" s="136"/>
    </row>
    <row r="272">
      <c r="A272" s="134">
        <v>46293.0</v>
      </c>
      <c r="B272" s="133">
        <f t="shared" si="1"/>
        <v>2</v>
      </c>
      <c r="C272" s="133" t="str">
        <f t="shared" si="2"/>
        <v>segunda-feira</v>
      </c>
      <c r="D272" s="133" t="str">
        <f t="shared" si="3"/>
        <v>sim</v>
      </c>
      <c r="E272" s="133" t="str">
        <f t="shared" si="4"/>
        <v/>
      </c>
      <c r="F272" s="133" t="str">
        <f t="shared" si="5"/>
        <v/>
      </c>
      <c r="G272" s="133" t="str">
        <f t="shared" si="6"/>
        <v/>
      </c>
      <c r="H272" s="133" t="str">
        <f t="shared" si="10"/>
        <v/>
      </c>
      <c r="I272" s="133" t="str">
        <f t="shared" si="7"/>
        <v/>
      </c>
      <c r="J272" s="133" t="str">
        <f t="shared" si="8"/>
        <v/>
      </c>
      <c r="K272" s="138" t="s">
        <v>278</v>
      </c>
      <c r="L272" s="136"/>
    </row>
    <row r="273">
      <c r="A273" s="134">
        <v>46294.0</v>
      </c>
      <c r="B273" s="133">
        <f t="shared" si="1"/>
        <v>3</v>
      </c>
      <c r="C273" s="133" t="str">
        <f t="shared" si="2"/>
        <v>terça-feira</v>
      </c>
      <c r="D273" s="133" t="str">
        <f t="shared" si="3"/>
        <v>sim</v>
      </c>
      <c r="E273" s="133" t="str">
        <f t="shared" si="4"/>
        <v/>
      </c>
      <c r="F273" s="133" t="str">
        <f t="shared" si="5"/>
        <v/>
      </c>
      <c r="G273" s="133" t="str">
        <f t="shared" si="6"/>
        <v/>
      </c>
      <c r="H273" s="133" t="str">
        <f t="shared" si="10"/>
        <v/>
      </c>
      <c r="I273" s="133" t="str">
        <f t="shared" si="7"/>
        <v/>
      </c>
      <c r="J273" s="133" t="str">
        <f t="shared" si="8"/>
        <v/>
      </c>
      <c r="K273" s="138" t="s">
        <v>278</v>
      </c>
      <c r="L273" s="136"/>
    </row>
    <row r="274">
      <c r="A274" s="134">
        <v>46295.0</v>
      </c>
      <c r="B274" s="133">
        <f t="shared" si="1"/>
        <v>4</v>
      </c>
      <c r="C274" s="133" t="str">
        <f t="shared" si="2"/>
        <v>quarta-feira</v>
      </c>
      <c r="D274" s="133" t="str">
        <f t="shared" si="3"/>
        <v>sim</v>
      </c>
      <c r="E274" s="133" t="str">
        <f t="shared" si="4"/>
        <v/>
      </c>
      <c r="F274" s="133" t="str">
        <f t="shared" si="5"/>
        <v/>
      </c>
      <c r="G274" s="133" t="str">
        <f t="shared" si="6"/>
        <v/>
      </c>
      <c r="H274" s="133" t="str">
        <f t="shared" si="10"/>
        <v/>
      </c>
      <c r="I274" s="133" t="str">
        <f t="shared" si="7"/>
        <v/>
      </c>
      <c r="J274" s="133" t="str">
        <f t="shared" si="8"/>
        <v/>
      </c>
      <c r="K274" s="138" t="s">
        <v>278</v>
      </c>
      <c r="L274" s="136"/>
    </row>
    <row r="275">
      <c r="A275" s="134">
        <v>46296.0</v>
      </c>
      <c r="B275" s="133">
        <f t="shared" si="1"/>
        <v>5</v>
      </c>
      <c r="C275" s="133" t="str">
        <f t="shared" si="2"/>
        <v>quinta-feira</v>
      </c>
      <c r="D275" s="133" t="str">
        <f t="shared" si="3"/>
        <v>sim</v>
      </c>
      <c r="E275" s="133" t="str">
        <f t="shared" si="4"/>
        <v/>
      </c>
      <c r="F275" s="133" t="str">
        <f t="shared" si="5"/>
        <v/>
      </c>
      <c r="G275" s="133" t="str">
        <f t="shared" si="6"/>
        <v/>
      </c>
      <c r="H275" s="133" t="str">
        <f t="shared" si="10"/>
        <v/>
      </c>
      <c r="I275" s="133" t="str">
        <f t="shared" si="7"/>
        <v/>
      </c>
      <c r="J275" s="133" t="str">
        <f t="shared" si="8"/>
        <v/>
      </c>
      <c r="K275" s="138" t="s">
        <v>278</v>
      </c>
      <c r="L275" s="136"/>
    </row>
    <row r="276">
      <c r="A276" s="134">
        <v>46297.0</v>
      </c>
      <c r="B276" s="133">
        <f t="shared" si="1"/>
        <v>6</v>
      </c>
      <c r="C276" s="133" t="str">
        <f t="shared" si="2"/>
        <v>sexta-feira</v>
      </c>
      <c r="D276" s="133" t="str">
        <f t="shared" si="3"/>
        <v>sim</v>
      </c>
      <c r="E276" s="133" t="str">
        <f t="shared" si="4"/>
        <v/>
      </c>
      <c r="F276" s="133" t="str">
        <f t="shared" si="5"/>
        <v/>
      </c>
      <c r="G276" s="133" t="str">
        <f t="shared" si="6"/>
        <v/>
      </c>
      <c r="H276" s="133" t="str">
        <f t="shared" si="10"/>
        <v/>
      </c>
      <c r="I276" s="133" t="str">
        <f t="shared" si="7"/>
        <v/>
      </c>
      <c r="J276" s="133" t="str">
        <f t="shared" si="8"/>
        <v/>
      </c>
      <c r="K276" s="138" t="s">
        <v>278</v>
      </c>
      <c r="L276" s="136"/>
    </row>
    <row r="277">
      <c r="A277" s="134">
        <v>46298.0</v>
      </c>
      <c r="B277" s="133">
        <f t="shared" si="1"/>
        <v>7</v>
      </c>
      <c r="C277" s="133" t="str">
        <f t="shared" si="2"/>
        <v>sábado</v>
      </c>
      <c r="D277" s="133" t="str">
        <f t="shared" si="3"/>
        <v>nao</v>
      </c>
      <c r="E277" s="133" t="str">
        <f t="shared" si="4"/>
        <v/>
      </c>
      <c r="F277" s="133" t="str">
        <f t="shared" si="5"/>
        <v/>
      </c>
      <c r="G277" s="133" t="str">
        <f t="shared" si="6"/>
        <v/>
      </c>
      <c r="H277" s="133" t="str">
        <f t="shared" si="10"/>
        <v/>
      </c>
      <c r="I277" s="133" t="str">
        <f t="shared" si="7"/>
        <v/>
      </c>
      <c r="J277" s="133" t="str">
        <f t="shared" si="8"/>
        <v/>
      </c>
      <c r="K277" s="139" t="str">
        <f t="shared" ref="K277:K278" si="34">IF(AND(D277="sim",E277="sim",F277="",G277="",H277="",I277="",J277=""),"sim","nao")
</f>
        <v>nao</v>
      </c>
      <c r="L277" s="136"/>
    </row>
    <row r="278">
      <c r="A278" s="134">
        <v>46299.0</v>
      </c>
      <c r="B278" s="133">
        <f t="shared" si="1"/>
        <v>1</v>
      </c>
      <c r="C278" s="133" t="str">
        <f t="shared" si="2"/>
        <v>domingo</v>
      </c>
      <c r="D278" s="133" t="str">
        <f t="shared" si="3"/>
        <v>nao</v>
      </c>
      <c r="E278" s="133" t="str">
        <f t="shared" si="4"/>
        <v/>
      </c>
      <c r="F278" s="133" t="str">
        <f t="shared" si="5"/>
        <v/>
      </c>
      <c r="G278" s="133" t="str">
        <f t="shared" si="6"/>
        <v/>
      </c>
      <c r="H278" s="133" t="str">
        <f t="shared" si="10"/>
        <v/>
      </c>
      <c r="I278" s="133" t="str">
        <f t="shared" si="7"/>
        <v/>
      </c>
      <c r="J278" s="133" t="str">
        <f t="shared" si="8"/>
        <v/>
      </c>
      <c r="K278" s="139" t="str">
        <f t="shared" si="34"/>
        <v>nao</v>
      </c>
      <c r="L278" s="136"/>
    </row>
    <row r="279">
      <c r="A279" s="134">
        <v>46300.0</v>
      </c>
      <c r="B279" s="133">
        <f t="shared" si="1"/>
        <v>2</v>
      </c>
      <c r="C279" s="133" t="str">
        <f t="shared" si="2"/>
        <v>segunda-feira</v>
      </c>
      <c r="D279" s="133" t="str">
        <f t="shared" si="3"/>
        <v>sim</v>
      </c>
      <c r="E279" s="133" t="str">
        <f t="shared" si="4"/>
        <v/>
      </c>
      <c r="F279" s="133" t="str">
        <f t="shared" si="5"/>
        <v/>
      </c>
      <c r="G279" s="133" t="str">
        <f t="shared" si="6"/>
        <v/>
      </c>
      <c r="H279" s="133" t="str">
        <f t="shared" si="10"/>
        <v/>
      </c>
      <c r="I279" s="133" t="str">
        <f t="shared" si="7"/>
        <v/>
      </c>
      <c r="J279" s="133" t="str">
        <f t="shared" si="8"/>
        <v/>
      </c>
      <c r="K279" s="138" t="s">
        <v>278</v>
      </c>
      <c r="L279" s="136"/>
    </row>
    <row r="280">
      <c r="A280" s="134">
        <v>46301.0</v>
      </c>
      <c r="B280" s="133">
        <f t="shared" si="1"/>
        <v>3</v>
      </c>
      <c r="C280" s="133" t="str">
        <f t="shared" si="2"/>
        <v>terça-feira</v>
      </c>
      <c r="D280" s="133" t="str">
        <f t="shared" si="3"/>
        <v>sim</v>
      </c>
      <c r="E280" s="133" t="str">
        <f t="shared" si="4"/>
        <v/>
      </c>
      <c r="F280" s="133" t="str">
        <f t="shared" si="5"/>
        <v/>
      </c>
      <c r="G280" s="133" t="str">
        <f t="shared" si="6"/>
        <v/>
      </c>
      <c r="H280" s="133" t="str">
        <f t="shared" si="10"/>
        <v/>
      </c>
      <c r="I280" s="133" t="str">
        <f t="shared" si="7"/>
        <v/>
      </c>
      <c r="J280" s="133" t="str">
        <f t="shared" si="8"/>
        <v/>
      </c>
      <c r="K280" s="138" t="s">
        <v>278</v>
      </c>
      <c r="L280" s="136"/>
    </row>
    <row r="281">
      <c r="A281" s="134">
        <v>46302.0</v>
      </c>
      <c r="B281" s="133">
        <f t="shared" si="1"/>
        <v>4</v>
      </c>
      <c r="C281" s="133" t="str">
        <f t="shared" si="2"/>
        <v>quarta-feira</v>
      </c>
      <c r="D281" s="133" t="str">
        <f t="shared" si="3"/>
        <v>sim</v>
      </c>
      <c r="E281" s="133" t="str">
        <f t="shared" si="4"/>
        <v/>
      </c>
      <c r="F281" s="133" t="str">
        <f t="shared" si="5"/>
        <v/>
      </c>
      <c r="G281" s="133" t="str">
        <f t="shared" si="6"/>
        <v/>
      </c>
      <c r="H281" s="133" t="str">
        <f t="shared" si="10"/>
        <v/>
      </c>
      <c r="I281" s="133" t="str">
        <f t="shared" si="7"/>
        <v/>
      </c>
      <c r="J281" s="133" t="str">
        <f t="shared" si="8"/>
        <v/>
      </c>
      <c r="K281" s="138" t="s">
        <v>278</v>
      </c>
      <c r="L281" s="136"/>
    </row>
    <row r="282">
      <c r="A282" s="134">
        <v>46303.0</v>
      </c>
      <c r="B282" s="133">
        <f t="shared" si="1"/>
        <v>5</v>
      </c>
      <c r="C282" s="133" t="str">
        <f t="shared" si="2"/>
        <v>quinta-feira</v>
      </c>
      <c r="D282" s="133" t="str">
        <f t="shared" si="3"/>
        <v>sim</v>
      </c>
      <c r="E282" s="133" t="str">
        <f t="shared" si="4"/>
        <v/>
      </c>
      <c r="F282" s="133" t="str">
        <f t="shared" si="5"/>
        <v/>
      </c>
      <c r="G282" s="133" t="str">
        <f t="shared" si="6"/>
        <v/>
      </c>
      <c r="H282" s="133" t="str">
        <f t="shared" si="10"/>
        <v/>
      </c>
      <c r="I282" s="133" t="str">
        <f t="shared" si="7"/>
        <v/>
      </c>
      <c r="J282" s="133" t="str">
        <f t="shared" si="8"/>
        <v/>
      </c>
      <c r="K282" s="138" t="s">
        <v>278</v>
      </c>
      <c r="L282" s="136"/>
    </row>
    <row r="283">
      <c r="A283" s="134">
        <v>46304.0</v>
      </c>
      <c r="B283" s="133">
        <f t="shared" si="1"/>
        <v>6</v>
      </c>
      <c r="C283" s="133" t="str">
        <f t="shared" si="2"/>
        <v>sexta-feira</v>
      </c>
      <c r="D283" s="133" t="str">
        <f t="shared" si="3"/>
        <v>sim</v>
      </c>
      <c r="E283" s="133" t="str">
        <f t="shared" si="4"/>
        <v/>
      </c>
      <c r="F283" s="133" t="str">
        <f t="shared" si="5"/>
        <v/>
      </c>
      <c r="G283" s="133" t="str">
        <f t="shared" si="6"/>
        <v/>
      </c>
      <c r="H283" s="133" t="str">
        <f t="shared" si="10"/>
        <v/>
      </c>
      <c r="I283" s="133" t="str">
        <f t="shared" si="7"/>
        <v/>
      </c>
      <c r="J283" s="133" t="str">
        <f t="shared" si="8"/>
        <v/>
      </c>
      <c r="K283" s="138" t="s">
        <v>278</v>
      </c>
      <c r="L283" s="136"/>
    </row>
    <row r="284">
      <c r="A284" s="134">
        <v>46305.0</v>
      </c>
      <c r="B284" s="133">
        <f t="shared" si="1"/>
        <v>7</v>
      </c>
      <c r="C284" s="133" t="str">
        <f t="shared" si="2"/>
        <v>sábado</v>
      </c>
      <c r="D284" s="133" t="str">
        <f t="shared" si="3"/>
        <v>nao</v>
      </c>
      <c r="E284" s="133" t="str">
        <f t="shared" si="4"/>
        <v/>
      </c>
      <c r="F284" s="133" t="str">
        <f t="shared" si="5"/>
        <v/>
      </c>
      <c r="G284" s="133" t="str">
        <f t="shared" si="6"/>
        <v/>
      </c>
      <c r="H284" s="133" t="str">
        <f t="shared" si="10"/>
        <v/>
      </c>
      <c r="I284" s="133" t="str">
        <f t="shared" si="7"/>
        <v/>
      </c>
      <c r="J284" s="133" t="str">
        <f t="shared" si="8"/>
        <v/>
      </c>
      <c r="K284" s="139" t="str">
        <f t="shared" ref="K284:K286" si="35">IF(AND(D284="sim",E284="sim",F284="",G284="",H284="",I284="",J284=""),"sim","nao")
</f>
        <v>nao</v>
      </c>
      <c r="L284" s="136"/>
    </row>
    <row r="285">
      <c r="A285" s="134">
        <v>46306.0</v>
      </c>
      <c r="B285" s="133">
        <f t="shared" si="1"/>
        <v>1</v>
      </c>
      <c r="C285" s="133" t="str">
        <f t="shared" si="2"/>
        <v>domingo</v>
      </c>
      <c r="D285" s="133" t="str">
        <f t="shared" si="3"/>
        <v>nao</v>
      </c>
      <c r="E285" s="133" t="str">
        <f t="shared" si="4"/>
        <v/>
      </c>
      <c r="F285" s="133" t="str">
        <f t="shared" si="5"/>
        <v/>
      </c>
      <c r="G285" s="133" t="str">
        <f t="shared" si="6"/>
        <v/>
      </c>
      <c r="H285" s="133" t="str">
        <f t="shared" si="10"/>
        <v/>
      </c>
      <c r="I285" s="133" t="str">
        <f t="shared" si="7"/>
        <v/>
      </c>
      <c r="J285" s="133" t="str">
        <f t="shared" si="8"/>
        <v/>
      </c>
      <c r="K285" s="139" t="str">
        <f t="shared" si="35"/>
        <v>nao</v>
      </c>
      <c r="L285" s="136"/>
    </row>
    <row r="286">
      <c r="A286" s="134">
        <v>46307.0</v>
      </c>
      <c r="B286" s="133">
        <f t="shared" si="1"/>
        <v>2</v>
      </c>
      <c r="C286" s="133" t="str">
        <f t="shared" si="2"/>
        <v>segunda-feira</v>
      </c>
      <c r="D286" s="133" t="str">
        <f t="shared" si="3"/>
        <v>sim</v>
      </c>
      <c r="E286" s="133" t="str">
        <f t="shared" si="4"/>
        <v/>
      </c>
      <c r="F286" s="133" t="str">
        <f t="shared" si="5"/>
        <v>sim</v>
      </c>
      <c r="G286" s="133" t="str">
        <f t="shared" si="6"/>
        <v/>
      </c>
      <c r="H286" s="133" t="str">
        <f t="shared" si="10"/>
        <v/>
      </c>
      <c r="I286" s="133" t="str">
        <f t="shared" si="7"/>
        <v/>
      </c>
      <c r="J286" s="133" t="str">
        <f t="shared" si="8"/>
        <v/>
      </c>
      <c r="K286" s="139" t="str">
        <f t="shared" si="35"/>
        <v>nao</v>
      </c>
      <c r="L286" s="136"/>
    </row>
    <row r="287">
      <c r="A287" s="134">
        <v>46308.0</v>
      </c>
      <c r="B287" s="133">
        <f t="shared" si="1"/>
        <v>3</v>
      </c>
      <c r="C287" s="133" t="str">
        <f t="shared" si="2"/>
        <v>terça-feira</v>
      </c>
      <c r="D287" s="133" t="str">
        <f t="shared" si="3"/>
        <v>sim</v>
      </c>
      <c r="E287" s="133" t="str">
        <f t="shared" si="4"/>
        <v/>
      </c>
      <c r="F287" s="133" t="str">
        <f t="shared" si="5"/>
        <v/>
      </c>
      <c r="G287" s="133" t="str">
        <f t="shared" si="6"/>
        <v/>
      </c>
      <c r="H287" s="133" t="str">
        <f t="shared" si="10"/>
        <v/>
      </c>
      <c r="I287" s="133" t="str">
        <f t="shared" si="7"/>
        <v/>
      </c>
      <c r="J287" s="133" t="str">
        <f t="shared" si="8"/>
        <v/>
      </c>
      <c r="K287" s="138" t="s">
        <v>278</v>
      </c>
      <c r="L287" s="136"/>
    </row>
    <row r="288">
      <c r="A288" s="134">
        <v>46309.0</v>
      </c>
      <c r="B288" s="133">
        <f t="shared" si="1"/>
        <v>4</v>
      </c>
      <c r="C288" s="133" t="str">
        <f t="shared" si="2"/>
        <v>quarta-feira</v>
      </c>
      <c r="D288" s="133" t="str">
        <f t="shared" si="3"/>
        <v>sim</v>
      </c>
      <c r="E288" s="133" t="str">
        <f t="shared" si="4"/>
        <v/>
      </c>
      <c r="F288" s="133" t="str">
        <f t="shared" si="5"/>
        <v/>
      </c>
      <c r="G288" s="133" t="str">
        <f t="shared" si="6"/>
        <v/>
      </c>
      <c r="H288" s="133" t="str">
        <f t="shared" si="10"/>
        <v/>
      </c>
      <c r="I288" s="133" t="str">
        <f t="shared" si="7"/>
        <v/>
      </c>
      <c r="J288" s="133" t="str">
        <f t="shared" si="8"/>
        <v/>
      </c>
      <c r="K288" s="138" t="s">
        <v>278</v>
      </c>
      <c r="L288" s="136"/>
    </row>
    <row r="289">
      <c r="A289" s="134">
        <v>46310.0</v>
      </c>
      <c r="B289" s="133">
        <f t="shared" si="1"/>
        <v>5</v>
      </c>
      <c r="C289" s="133" t="str">
        <f t="shared" si="2"/>
        <v>quinta-feira</v>
      </c>
      <c r="D289" s="133" t="str">
        <f t="shared" si="3"/>
        <v>sim</v>
      </c>
      <c r="E289" s="133" t="str">
        <f t="shared" si="4"/>
        <v/>
      </c>
      <c r="F289" s="133" t="str">
        <f t="shared" si="5"/>
        <v/>
      </c>
      <c r="G289" s="133" t="str">
        <f t="shared" si="6"/>
        <v>sim</v>
      </c>
      <c r="H289" s="133" t="str">
        <f t="shared" si="10"/>
        <v/>
      </c>
      <c r="I289" s="133" t="str">
        <f t="shared" si="7"/>
        <v/>
      </c>
      <c r="J289" s="133" t="str">
        <f t="shared" si="8"/>
        <v/>
      </c>
      <c r="K289" s="139" t="str">
        <f>IF(AND(D289="sim",E289="sim",F289="",G289="",H289="",I289="",J289=""),"sim","nao")
</f>
        <v>nao</v>
      </c>
      <c r="L289" s="136"/>
    </row>
    <row r="290">
      <c r="A290" s="134">
        <v>46311.0</v>
      </c>
      <c r="B290" s="133">
        <f t="shared" si="1"/>
        <v>6</v>
      </c>
      <c r="C290" s="133" t="str">
        <f t="shared" si="2"/>
        <v>sexta-feira</v>
      </c>
      <c r="D290" s="133" t="str">
        <f t="shared" si="3"/>
        <v>sim</v>
      </c>
      <c r="E290" s="133" t="str">
        <f t="shared" si="4"/>
        <v/>
      </c>
      <c r="F290" s="133" t="str">
        <f t="shared" si="5"/>
        <v/>
      </c>
      <c r="G290" s="133" t="str">
        <f t="shared" si="6"/>
        <v/>
      </c>
      <c r="H290" s="133" t="str">
        <f t="shared" si="10"/>
        <v/>
      </c>
      <c r="I290" s="133" t="str">
        <f t="shared" si="7"/>
        <v/>
      </c>
      <c r="J290" s="133" t="str">
        <f t="shared" si="8"/>
        <v/>
      </c>
      <c r="K290" s="138" t="s">
        <v>278</v>
      </c>
      <c r="L290" s="136"/>
    </row>
    <row r="291">
      <c r="A291" s="134">
        <v>46312.0</v>
      </c>
      <c r="B291" s="133">
        <f t="shared" si="1"/>
        <v>7</v>
      </c>
      <c r="C291" s="133" t="str">
        <f t="shared" si="2"/>
        <v>sábado</v>
      </c>
      <c r="D291" s="133" t="str">
        <f t="shared" si="3"/>
        <v>nao</v>
      </c>
      <c r="E291" s="133" t="str">
        <f t="shared" si="4"/>
        <v>sim</v>
      </c>
      <c r="F291" s="133" t="str">
        <f t="shared" si="5"/>
        <v/>
      </c>
      <c r="G291" s="133" t="str">
        <f t="shared" si="6"/>
        <v/>
      </c>
      <c r="H291" s="133" t="str">
        <f t="shared" si="10"/>
        <v/>
      </c>
      <c r="I291" s="133" t="str">
        <f t="shared" si="7"/>
        <v/>
      </c>
      <c r="J291" s="133" t="str">
        <f t="shared" si="8"/>
        <v/>
      </c>
      <c r="K291" s="138" t="s">
        <v>278</v>
      </c>
      <c r="L291" s="136"/>
    </row>
    <row r="292">
      <c r="A292" s="134">
        <v>46313.0</v>
      </c>
      <c r="B292" s="133">
        <f t="shared" si="1"/>
        <v>1</v>
      </c>
      <c r="C292" s="133" t="str">
        <f t="shared" si="2"/>
        <v>domingo</v>
      </c>
      <c r="D292" s="133" t="str">
        <f t="shared" si="3"/>
        <v>nao</v>
      </c>
      <c r="E292" s="133" t="str">
        <f t="shared" si="4"/>
        <v/>
      </c>
      <c r="F292" s="133" t="str">
        <f t="shared" si="5"/>
        <v/>
      </c>
      <c r="G292" s="133" t="str">
        <f t="shared" si="6"/>
        <v/>
      </c>
      <c r="H292" s="133" t="str">
        <f t="shared" si="10"/>
        <v/>
      </c>
      <c r="I292" s="133" t="str">
        <f t="shared" si="7"/>
        <v/>
      </c>
      <c r="J292" s="133" t="str">
        <f t="shared" si="8"/>
        <v/>
      </c>
      <c r="K292" s="139" t="str">
        <f>IF(AND(D292="sim",E292="sim",F292="",G292="",H292="",I292="",J292=""),"sim","nao")
</f>
        <v>nao</v>
      </c>
      <c r="L292" s="136"/>
    </row>
    <row r="293">
      <c r="A293" s="134">
        <v>46314.0</v>
      </c>
      <c r="B293" s="133">
        <f t="shared" si="1"/>
        <v>2</v>
      </c>
      <c r="C293" s="133" t="str">
        <f t="shared" si="2"/>
        <v>segunda-feira</v>
      </c>
      <c r="D293" s="133" t="str">
        <f t="shared" si="3"/>
        <v>sim</v>
      </c>
      <c r="E293" s="133" t="str">
        <f t="shared" si="4"/>
        <v/>
      </c>
      <c r="F293" s="133" t="str">
        <f t="shared" si="5"/>
        <v/>
      </c>
      <c r="G293" s="133" t="str">
        <f t="shared" si="6"/>
        <v/>
      </c>
      <c r="H293" s="133" t="str">
        <f t="shared" si="10"/>
        <v/>
      </c>
      <c r="I293" s="133" t="str">
        <f t="shared" si="7"/>
        <v/>
      </c>
      <c r="J293" s="133" t="str">
        <f t="shared" si="8"/>
        <v/>
      </c>
      <c r="K293" s="138" t="s">
        <v>278</v>
      </c>
      <c r="L293" s="136"/>
    </row>
    <row r="294">
      <c r="A294" s="134">
        <v>46315.0</v>
      </c>
      <c r="B294" s="133">
        <f t="shared" si="1"/>
        <v>3</v>
      </c>
      <c r="C294" s="133" t="str">
        <f t="shared" si="2"/>
        <v>terça-feira</v>
      </c>
      <c r="D294" s="133" t="str">
        <f t="shared" si="3"/>
        <v>sim</v>
      </c>
      <c r="E294" s="133" t="str">
        <f t="shared" si="4"/>
        <v/>
      </c>
      <c r="F294" s="133" t="str">
        <f t="shared" si="5"/>
        <v/>
      </c>
      <c r="G294" s="133" t="str">
        <f t="shared" si="6"/>
        <v/>
      </c>
      <c r="H294" s="133" t="str">
        <f t="shared" si="10"/>
        <v/>
      </c>
      <c r="I294" s="133" t="str">
        <f t="shared" si="7"/>
        <v/>
      </c>
      <c r="J294" s="133" t="str">
        <f t="shared" si="8"/>
        <v/>
      </c>
      <c r="K294" s="138" t="s">
        <v>278</v>
      </c>
      <c r="L294" s="136"/>
    </row>
    <row r="295">
      <c r="A295" s="134">
        <v>46316.0</v>
      </c>
      <c r="B295" s="133">
        <f t="shared" si="1"/>
        <v>4</v>
      </c>
      <c r="C295" s="133" t="str">
        <f t="shared" si="2"/>
        <v>quarta-feira</v>
      </c>
      <c r="D295" s="133" t="str">
        <f t="shared" si="3"/>
        <v>sim</v>
      </c>
      <c r="E295" s="133" t="str">
        <f t="shared" si="4"/>
        <v/>
      </c>
      <c r="F295" s="133" t="str">
        <f t="shared" si="5"/>
        <v/>
      </c>
      <c r="G295" s="133" t="str">
        <f t="shared" si="6"/>
        <v/>
      </c>
      <c r="H295" s="133" t="str">
        <f t="shared" si="10"/>
        <v/>
      </c>
      <c r="I295" s="133" t="str">
        <f t="shared" si="7"/>
        <v/>
      </c>
      <c r="J295" s="133" t="str">
        <f t="shared" si="8"/>
        <v/>
      </c>
      <c r="K295" s="138" t="s">
        <v>278</v>
      </c>
      <c r="L295" s="136"/>
    </row>
    <row r="296">
      <c r="A296" s="134">
        <v>46317.0</v>
      </c>
      <c r="B296" s="133">
        <f t="shared" si="1"/>
        <v>5</v>
      </c>
      <c r="C296" s="133" t="str">
        <f t="shared" si="2"/>
        <v>quinta-feira</v>
      </c>
      <c r="D296" s="133" t="str">
        <f t="shared" si="3"/>
        <v>sim</v>
      </c>
      <c r="E296" s="133" t="str">
        <f t="shared" si="4"/>
        <v/>
      </c>
      <c r="F296" s="133" t="str">
        <f t="shared" si="5"/>
        <v/>
      </c>
      <c r="G296" s="133" t="str">
        <f t="shared" si="6"/>
        <v/>
      </c>
      <c r="H296" s="133" t="str">
        <f t="shared" si="10"/>
        <v/>
      </c>
      <c r="I296" s="133" t="str">
        <f t="shared" si="7"/>
        <v/>
      </c>
      <c r="J296" s="133" t="str">
        <f t="shared" si="8"/>
        <v/>
      </c>
      <c r="K296" s="138" t="s">
        <v>278</v>
      </c>
      <c r="L296" s="136"/>
    </row>
    <row r="297">
      <c r="A297" s="134">
        <v>46318.0</v>
      </c>
      <c r="B297" s="133">
        <f t="shared" si="1"/>
        <v>6</v>
      </c>
      <c r="C297" s="133" t="str">
        <f t="shared" si="2"/>
        <v>sexta-feira</v>
      </c>
      <c r="D297" s="133" t="str">
        <f t="shared" si="3"/>
        <v>sim</v>
      </c>
      <c r="E297" s="133" t="str">
        <f t="shared" si="4"/>
        <v/>
      </c>
      <c r="F297" s="133" t="str">
        <f t="shared" si="5"/>
        <v/>
      </c>
      <c r="G297" s="133" t="str">
        <f t="shared" si="6"/>
        <v/>
      </c>
      <c r="H297" s="133" t="str">
        <f t="shared" si="10"/>
        <v/>
      </c>
      <c r="I297" s="133" t="str">
        <f t="shared" si="7"/>
        <v/>
      </c>
      <c r="J297" s="133" t="str">
        <f t="shared" si="8"/>
        <v/>
      </c>
      <c r="K297" s="138" t="s">
        <v>278</v>
      </c>
      <c r="L297" s="136"/>
    </row>
    <row r="298">
      <c r="A298" s="134">
        <v>46319.0</v>
      </c>
      <c r="B298" s="133">
        <f t="shared" si="1"/>
        <v>7</v>
      </c>
      <c r="C298" s="133" t="str">
        <f t="shared" si="2"/>
        <v>sábado</v>
      </c>
      <c r="D298" s="133" t="str">
        <f t="shared" si="3"/>
        <v>nao</v>
      </c>
      <c r="E298" s="133" t="str">
        <f t="shared" si="4"/>
        <v/>
      </c>
      <c r="F298" s="133" t="str">
        <f t="shared" si="5"/>
        <v/>
      </c>
      <c r="G298" s="133" t="str">
        <f t="shared" si="6"/>
        <v/>
      </c>
      <c r="H298" s="133" t="str">
        <f t="shared" si="10"/>
        <v/>
      </c>
      <c r="I298" s="133" t="str">
        <f t="shared" si="7"/>
        <v/>
      </c>
      <c r="J298" s="133" t="str">
        <f t="shared" si="8"/>
        <v/>
      </c>
      <c r="K298" s="139" t="str">
        <f t="shared" ref="K298:K299" si="36">IF(AND(D298="sim",E298="sim",F298="",G298="",H298="",I298="",J298=""),"sim","nao")
</f>
        <v>nao</v>
      </c>
      <c r="L298" s="136"/>
    </row>
    <row r="299">
      <c r="A299" s="134">
        <v>46320.0</v>
      </c>
      <c r="B299" s="133">
        <f t="shared" si="1"/>
        <v>1</v>
      </c>
      <c r="C299" s="133" t="str">
        <f t="shared" si="2"/>
        <v>domingo</v>
      </c>
      <c r="D299" s="133" t="str">
        <f t="shared" si="3"/>
        <v>nao</v>
      </c>
      <c r="E299" s="133" t="str">
        <f t="shared" si="4"/>
        <v/>
      </c>
      <c r="F299" s="133" t="str">
        <f t="shared" si="5"/>
        <v/>
      </c>
      <c r="G299" s="133" t="str">
        <f t="shared" si="6"/>
        <v/>
      </c>
      <c r="H299" s="133" t="str">
        <f t="shared" si="10"/>
        <v/>
      </c>
      <c r="I299" s="133" t="str">
        <f t="shared" si="7"/>
        <v/>
      </c>
      <c r="J299" s="133" t="str">
        <f t="shared" si="8"/>
        <v/>
      </c>
      <c r="K299" s="139" t="str">
        <f t="shared" si="36"/>
        <v>nao</v>
      </c>
      <c r="L299" s="136"/>
    </row>
    <row r="300">
      <c r="A300" s="134">
        <v>46321.0</v>
      </c>
      <c r="B300" s="133">
        <f t="shared" si="1"/>
        <v>2</v>
      </c>
      <c r="C300" s="133" t="str">
        <f t="shared" si="2"/>
        <v>segunda-feira</v>
      </c>
      <c r="D300" s="133" t="str">
        <f t="shared" si="3"/>
        <v>sim</v>
      </c>
      <c r="E300" s="133" t="str">
        <f t="shared" si="4"/>
        <v/>
      </c>
      <c r="F300" s="133" t="str">
        <f t="shared" si="5"/>
        <v/>
      </c>
      <c r="G300" s="133" t="str">
        <f t="shared" si="6"/>
        <v/>
      </c>
      <c r="H300" s="133" t="str">
        <f t="shared" si="10"/>
        <v/>
      </c>
      <c r="I300" s="133" t="str">
        <f t="shared" si="7"/>
        <v/>
      </c>
      <c r="J300" s="133" t="str">
        <f t="shared" si="8"/>
        <v/>
      </c>
      <c r="K300" s="138" t="s">
        <v>278</v>
      </c>
      <c r="L300" s="136"/>
    </row>
    <row r="301">
      <c r="A301" s="134">
        <v>46322.0</v>
      </c>
      <c r="B301" s="133">
        <f t="shared" si="1"/>
        <v>3</v>
      </c>
      <c r="C301" s="133" t="str">
        <f t="shared" si="2"/>
        <v>terça-feira</v>
      </c>
      <c r="D301" s="133" t="str">
        <f t="shared" si="3"/>
        <v>sim</v>
      </c>
      <c r="E301" s="133" t="str">
        <f t="shared" si="4"/>
        <v/>
      </c>
      <c r="F301" s="133" t="str">
        <f t="shared" si="5"/>
        <v/>
      </c>
      <c r="G301" s="133" t="str">
        <f t="shared" si="6"/>
        <v/>
      </c>
      <c r="H301" s="133" t="str">
        <f t="shared" si="10"/>
        <v/>
      </c>
      <c r="I301" s="133" t="str">
        <f t="shared" si="7"/>
        <v/>
      </c>
      <c r="J301" s="133" t="str">
        <f t="shared" si="8"/>
        <v/>
      </c>
      <c r="K301" s="138" t="s">
        <v>278</v>
      </c>
      <c r="L301" s="136"/>
    </row>
    <row r="302">
      <c r="A302" s="134">
        <v>46323.0</v>
      </c>
      <c r="B302" s="133">
        <f t="shared" si="1"/>
        <v>4</v>
      </c>
      <c r="C302" s="133" t="str">
        <f t="shared" si="2"/>
        <v>quarta-feira</v>
      </c>
      <c r="D302" s="133" t="str">
        <f t="shared" si="3"/>
        <v>sim</v>
      </c>
      <c r="E302" s="133" t="str">
        <f t="shared" si="4"/>
        <v/>
      </c>
      <c r="F302" s="133" t="str">
        <f t="shared" si="5"/>
        <v>sim</v>
      </c>
      <c r="G302" s="133" t="str">
        <f t="shared" si="6"/>
        <v/>
      </c>
      <c r="H302" s="133" t="str">
        <f t="shared" si="10"/>
        <v/>
      </c>
      <c r="I302" s="133" t="str">
        <f t="shared" si="7"/>
        <v/>
      </c>
      <c r="J302" s="133" t="str">
        <f t="shared" si="8"/>
        <v/>
      </c>
      <c r="K302" s="139" t="str">
        <f>IF(AND(D302="sim",E302="sim",F302="",G302="",H302="",I302="",J302=""),"sim","nao")
</f>
        <v>nao</v>
      </c>
      <c r="L302" s="136"/>
    </row>
    <row r="303">
      <c r="A303" s="134">
        <v>46324.0</v>
      </c>
      <c r="B303" s="133">
        <f t="shared" si="1"/>
        <v>5</v>
      </c>
      <c r="C303" s="133" t="str">
        <f t="shared" si="2"/>
        <v>quinta-feira</v>
      </c>
      <c r="D303" s="133" t="str">
        <f t="shared" si="3"/>
        <v>sim</v>
      </c>
      <c r="E303" s="133" t="str">
        <f t="shared" si="4"/>
        <v/>
      </c>
      <c r="F303" s="133" t="str">
        <f t="shared" si="5"/>
        <v/>
      </c>
      <c r="G303" s="133" t="str">
        <f t="shared" si="6"/>
        <v/>
      </c>
      <c r="H303" s="133" t="str">
        <f t="shared" si="10"/>
        <v/>
      </c>
      <c r="I303" s="133" t="str">
        <f t="shared" si="7"/>
        <v/>
      </c>
      <c r="J303" s="133" t="str">
        <f t="shared" si="8"/>
        <v/>
      </c>
      <c r="K303" s="138" t="s">
        <v>278</v>
      </c>
      <c r="L303" s="136"/>
    </row>
    <row r="304">
      <c r="A304" s="134">
        <v>46325.0</v>
      </c>
      <c r="B304" s="133">
        <f t="shared" si="1"/>
        <v>6</v>
      </c>
      <c r="C304" s="133" t="str">
        <f t="shared" si="2"/>
        <v>sexta-feira</v>
      </c>
      <c r="D304" s="133" t="str">
        <f t="shared" si="3"/>
        <v>sim</v>
      </c>
      <c r="E304" s="133" t="str">
        <f t="shared" si="4"/>
        <v/>
      </c>
      <c r="F304" s="133" t="str">
        <f t="shared" si="5"/>
        <v/>
      </c>
      <c r="G304" s="133" t="str">
        <f t="shared" si="6"/>
        <v/>
      </c>
      <c r="H304" s="133" t="str">
        <f t="shared" si="10"/>
        <v/>
      </c>
      <c r="I304" s="133" t="str">
        <f t="shared" si="7"/>
        <v/>
      </c>
      <c r="J304" s="133" t="str">
        <f t="shared" si="8"/>
        <v/>
      </c>
      <c r="K304" s="138" t="s">
        <v>278</v>
      </c>
      <c r="L304" s="136"/>
    </row>
    <row r="305">
      <c r="A305" s="134">
        <v>46326.0</v>
      </c>
      <c r="B305" s="133">
        <f t="shared" si="1"/>
        <v>7</v>
      </c>
      <c r="C305" s="133" t="str">
        <f t="shared" si="2"/>
        <v>sábado</v>
      </c>
      <c r="D305" s="133" t="str">
        <f t="shared" si="3"/>
        <v>nao</v>
      </c>
      <c r="E305" s="133" t="str">
        <f t="shared" si="4"/>
        <v/>
      </c>
      <c r="F305" s="133" t="str">
        <f t="shared" si="5"/>
        <v/>
      </c>
      <c r="G305" s="133" t="str">
        <f t="shared" si="6"/>
        <v/>
      </c>
      <c r="H305" s="133" t="str">
        <f t="shared" si="10"/>
        <v/>
      </c>
      <c r="I305" s="133" t="str">
        <f t="shared" si="7"/>
        <v/>
      </c>
      <c r="J305" s="133" t="str">
        <f t="shared" si="8"/>
        <v/>
      </c>
      <c r="K305" s="139" t="str">
        <f t="shared" ref="K305:K307" si="37">IF(AND(D305="sim",E305="sim",F305="",G305="",H305="",I305="",J305=""),"sim","nao")
</f>
        <v>nao</v>
      </c>
      <c r="L305" s="136"/>
    </row>
    <row r="306">
      <c r="A306" s="134">
        <v>46327.0</v>
      </c>
      <c r="B306" s="133">
        <f t="shared" si="1"/>
        <v>1</v>
      </c>
      <c r="C306" s="133" t="str">
        <f t="shared" si="2"/>
        <v>domingo</v>
      </c>
      <c r="D306" s="133" t="str">
        <f t="shared" si="3"/>
        <v>nao</v>
      </c>
      <c r="E306" s="133" t="str">
        <f t="shared" si="4"/>
        <v/>
      </c>
      <c r="F306" s="133" t="str">
        <f t="shared" si="5"/>
        <v/>
      </c>
      <c r="G306" s="133" t="str">
        <f t="shared" si="6"/>
        <v/>
      </c>
      <c r="H306" s="133" t="str">
        <f t="shared" si="10"/>
        <v/>
      </c>
      <c r="I306" s="133" t="str">
        <f t="shared" si="7"/>
        <v/>
      </c>
      <c r="J306" s="133" t="str">
        <f t="shared" si="8"/>
        <v/>
      </c>
      <c r="K306" s="139" t="str">
        <f t="shared" si="37"/>
        <v>nao</v>
      </c>
      <c r="L306" s="136"/>
    </row>
    <row r="307">
      <c r="A307" s="134">
        <v>46328.0</v>
      </c>
      <c r="B307" s="133">
        <f t="shared" si="1"/>
        <v>2</v>
      </c>
      <c r="C307" s="133" t="str">
        <f t="shared" si="2"/>
        <v>segunda-feira</v>
      </c>
      <c r="D307" s="133" t="str">
        <f t="shared" si="3"/>
        <v>sim</v>
      </c>
      <c r="E307" s="133" t="str">
        <f t="shared" si="4"/>
        <v/>
      </c>
      <c r="F307" s="133" t="str">
        <f t="shared" si="5"/>
        <v>sim</v>
      </c>
      <c r="G307" s="133" t="str">
        <f t="shared" si="6"/>
        <v/>
      </c>
      <c r="H307" s="133" t="str">
        <f t="shared" si="10"/>
        <v/>
      </c>
      <c r="I307" s="133" t="str">
        <f t="shared" si="7"/>
        <v/>
      </c>
      <c r="J307" s="133" t="str">
        <f t="shared" si="8"/>
        <v/>
      </c>
      <c r="K307" s="139" t="str">
        <f t="shared" si="37"/>
        <v>nao</v>
      </c>
      <c r="L307" s="136"/>
    </row>
    <row r="308">
      <c r="A308" s="134">
        <v>46329.0</v>
      </c>
      <c r="B308" s="133">
        <f t="shared" si="1"/>
        <v>3</v>
      </c>
      <c r="C308" s="133" t="str">
        <f t="shared" si="2"/>
        <v>terça-feira</v>
      </c>
      <c r="D308" s="133" t="str">
        <f t="shared" si="3"/>
        <v>sim</v>
      </c>
      <c r="E308" s="133" t="str">
        <f t="shared" si="4"/>
        <v/>
      </c>
      <c r="F308" s="133" t="str">
        <f t="shared" si="5"/>
        <v/>
      </c>
      <c r="G308" s="133" t="str">
        <f t="shared" si="6"/>
        <v/>
      </c>
      <c r="H308" s="133" t="str">
        <f t="shared" si="10"/>
        <v/>
      </c>
      <c r="I308" s="133" t="str">
        <f t="shared" si="7"/>
        <v/>
      </c>
      <c r="J308" s="133" t="str">
        <f t="shared" si="8"/>
        <v/>
      </c>
      <c r="K308" s="138" t="s">
        <v>278</v>
      </c>
      <c r="L308" s="136"/>
    </row>
    <row r="309">
      <c r="A309" s="134">
        <v>46330.0</v>
      </c>
      <c r="B309" s="133">
        <f t="shared" si="1"/>
        <v>4</v>
      </c>
      <c r="C309" s="133" t="str">
        <f t="shared" si="2"/>
        <v>quarta-feira</v>
      </c>
      <c r="D309" s="133" t="str">
        <f t="shared" si="3"/>
        <v>sim</v>
      </c>
      <c r="E309" s="133" t="str">
        <f t="shared" si="4"/>
        <v/>
      </c>
      <c r="F309" s="133" t="str">
        <f t="shared" si="5"/>
        <v/>
      </c>
      <c r="G309" s="133" t="str">
        <f t="shared" si="6"/>
        <v/>
      </c>
      <c r="H309" s="133" t="str">
        <f t="shared" si="10"/>
        <v/>
      </c>
      <c r="I309" s="133" t="str">
        <f t="shared" si="7"/>
        <v/>
      </c>
      <c r="J309" s="133" t="str">
        <f t="shared" si="8"/>
        <v/>
      </c>
      <c r="K309" s="138" t="s">
        <v>278</v>
      </c>
      <c r="L309" s="136"/>
    </row>
    <row r="310">
      <c r="A310" s="134">
        <v>46331.0</v>
      </c>
      <c r="B310" s="133">
        <f t="shared" si="1"/>
        <v>5</v>
      </c>
      <c r="C310" s="133" t="str">
        <f t="shared" si="2"/>
        <v>quinta-feira</v>
      </c>
      <c r="D310" s="133" t="str">
        <f t="shared" si="3"/>
        <v>sim</v>
      </c>
      <c r="E310" s="133" t="str">
        <f t="shared" si="4"/>
        <v/>
      </c>
      <c r="F310" s="133" t="str">
        <f t="shared" si="5"/>
        <v/>
      </c>
      <c r="G310" s="133" t="str">
        <f t="shared" si="6"/>
        <v/>
      </c>
      <c r="H310" s="133" t="str">
        <f t="shared" si="10"/>
        <v/>
      </c>
      <c r="I310" s="133" t="str">
        <f t="shared" si="7"/>
        <v/>
      </c>
      <c r="J310" s="133" t="str">
        <f t="shared" si="8"/>
        <v/>
      </c>
      <c r="K310" s="138" t="s">
        <v>278</v>
      </c>
      <c r="L310" s="136"/>
    </row>
    <row r="311">
      <c r="A311" s="134">
        <v>46332.0</v>
      </c>
      <c r="B311" s="133">
        <f t="shared" si="1"/>
        <v>6</v>
      </c>
      <c r="C311" s="133" t="str">
        <f t="shared" si="2"/>
        <v>sexta-feira</v>
      </c>
      <c r="D311" s="133" t="str">
        <f t="shared" si="3"/>
        <v>sim</v>
      </c>
      <c r="E311" s="133" t="str">
        <f t="shared" si="4"/>
        <v/>
      </c>
      <c r="F311" s="133" t="str">
        <f t="shared" si="5"/>
        <v/>
      </c>
      <c r="G311" s="133" t="str">
        <f t="shared" si="6"/>
        <v/>
      </c>
      <c r="H311" s="133" t="str">
        <f t="shared" si="10"/>
        <v/>
      </c>
      <c r="I311" s="133" t="str">
        <f t="shared" si="7"/>
        <v/>
      </c>
      <c r="J311" s="133" t="str">
        <f t="shared" si="8"/>
        <v/>
      </c>
      <c r="K311" s="138" t="s">
        <v>278</v>
      </c>
      <c r="L311" s="136"/>
    </row>
    <row r="312">
      <c r="A312" s="134">
        <v>46333.0</v>
      </c>
      <c r="B312" s="133">
        <f t="shared" si="1"/>
        <v>7</v>
      </c>
      <c r="C312" s="133" t="str">
        <f t="shared" si="2"/>
        <v>sábado</v>
      </c>
      <c r="D312" s="133" t="str">
        <f t="shared" si="3"/>
        <v>nao</v>
      </c>
      <c r="E312" s="133" t="str">
        <f t="shared" si="4"/>
        <v/>
      </c>
      <c r="F312" s="133" t="str">
        <f t="shared" si="5"/>
        <v/>
      </c>
      <c r="G312" s="133" t="str">
        <f t="shared" si="6"/>
        <v/>
      </c>
      <c r="H312" s="133" t="str">
        <f t="shared" si="10"/>
        <v/>
      </c>
      <c r="I312" s="133" t="str">
        <f t="shared" si="7"/>
        <v/>
      </c>
      <c r="J312" s="133" t="str">
        <f t="shared" si="8"/>
        <v/>
      </c>
      <c r="K312" s="139" t="str">
        <f t="shared" ref="K312:K313" si="38">IF(AND(D312="sim",E312="sim",F312="",G312="",H312="",I312="",J312=""),"sim","nao")
</f>
        <v>nao</v>
      </c>
      <c r="L312" s="136"/>
    </row>
    <row r="313">
      <c r="A313" s="134">
        <v>46334.0</v>
      </c>
      <c r="B313" s="133">
        <f t="shared" si="1"/>
        <v>1</v>
      </c>
      <c r="C313" s="133" t="str">
        <f t="shared" si="2"/>
        <v>domingo</v>
      </c>
      <c r="D313" s="133" t="str">
        <f t="shared" si="3"/>
        <v>nao</v>
      </c>
      <c r="E313" s="133" t="str">
        <f t="shared" si="4"/>
        <v/>
      </c>
      <c r="F313" s="133" t="str">
        <f t="shared" si="5"/>
        <v/>
      </c>
      <c r="G313" s="133" t="str">
        <f t="shared" si="6"/>
        <v/>
      </c>
      <c r="H313" s="133" t="str">
        <f t="shared" si="10"/>
        <v/>
      </c>
      <c r="I313" s="133" t="str">
        <f t="shared" si="7"/>
        <v/>
      </c>
      <c r="J313" s="133" t="str">
        <f t="shared" si="8"/>
        <v/>
      </c>
      <c r="K313" s="139" t="str">
        <f t="shared" si="38"/>
        <v>nao</v>
      </c>
      <c r="L313" s="136"/>
    </row>
    <row r="314">
      <c r="A314" s="134">
        <v>46335.0</v>
      </c>
      <c r="B314" s="133">
        <f t="shared" si="1"/>
        <v>2</v>
      </c>
      <c r="C314" s="133" t="str">
        <f t="shared" si="2"/>
        <v>segunda-feira</v>
      </c>
      <c r="D314" s="133" t="str">
        <f t="shared" si="3"/>
        <v>sim</v>
      </c>
      <c r="E314" s="133" t="str">
        <f t="shared" si="4"/>
        <v/>
      </c>
      <c r="F314" s="133" t="str">
        <f t="shared" si="5"/>
        <v/>
      </c>
      <c r="G314" s="133" t="str">
        <f t="shared" si="6"/>
        <v/>
      </c>
      <c r="H314" s="133" t="str">
        <f t="shared" si="10"/>
        <v/>
      </c>
      <c r="I314" s="133" t="str">
        <f t="shared" si="7"/>
        <v/>
      </c>
      <c r="J314" s="133" t="str">
        <f t="shared" si="8"/>
        <v/>
      </c>
      <c r="K314" s="138" t="s">
        <v>278</v>
      </c>
      <c r="L314" s="136"/>
    </row>
    <row r="315">
      <c r="A315" s="134">
        <v>46336.0</v>
      </c>
      <c r="B315" s="133">
        <f t="shared" si="1"/>
        <v>3</v>
      </c>
      <c r="C315" s="133" t="str">
        <f t="shared" si="2"/>
        <v>terça-feira</v>
      </c>
      <c r="D315" s="133" t="str">
        <f t="shared" si="3"/>
        <v>sim</v>
      </c>
      <c r="E315" s="133" t="str">
        <f t="shared" si="4"/>
        <v/>
      </c>
      <c r="F315" s="133" t="str">
        <f t="shared" si="5"/>
        <v/>
      </c>
      <c r="G315" s="133" t="str">
        <f t="shared" si="6"/>
        <v/>
      </c>
      <c r="H315" s="133" t="str">
        <f t="shared" si="10"/>
        <v/>
      </c>
      <c r="I315" s="133" t="str">
        <f t="shared" si="7"/>
        <v/>
      </c>
      <c r="J315" s="133" t="str">
        <f t="shared" si="8"/>
        <v/>
      </c>
      <c r="K315" s="138" t="s">
        <v>278</v>
      </c>
      <c r="L315" s="136"/>
    </row>
    <row r="316">
      <c r="A316" s="134">
        <v>46337.0</v>
      </c>
      <c r="B316" s="133">
        <f t="shared" si="1"/>
        <v>4</v>
      </c>
      <c r="C316" s="133" t="str">
        <f t="shared" si="2"/>
        <v>quarta-feira</v>
      </c>
      <c r="D316" s="133" t="str">
        <f t="shared" si="3"/>
        <v>sim</v>
      </c>
      <c r="E316" s="133" t="str">
        <f t="shared" si="4"/>
        <v/>
      </c>
      <c r="F316" s="133" t="str">
        <f t="shared" si="5"/>
        <v/>
      </c>
      <c r="G316" s="133" t="str">
        <f t="shared" si="6"/>
        <v/>
      </c>
      <c r="H316" s="133" t="str">
        <f t="shared" si="10"/>
        <v/>
      </c>
      <c r="I316" s="133" t="str">
        <f t="shared" si="7"/>
        <v/>
      </c>
      <c r="J316" s="133" t="str">
        <f t="shared" si="8"/>
        <v/>
      </c>
      <c r="K316" s="138" t="s">
        <v>278</v>
      </c>
      <c r="L316" s="136"/>
    </row>
    <row r="317">
      <c r="A317" s="134">
        <v>46338.0</v>
      </c>
      <c r="B317" s="133">
        <f t="shared" si="1"/>
        <v>5</v>
      </c>
      <c r="C317" s="133" t="str">
        <f t="shared" si="2"/>
        <v>quinta-feira</v>
      </c>
      <c r="D317" s="133" t="str">
        <f t="shared" si="3"/>
        <v>sim</v>
      </c>
      <c r="E317" s="133" t="str">
        <f t="shared" si="4"/>
        <v/>
      </c>
      <c r="F317" s="133" t="str">
        <f t="shared" si="5"/>
        <v/>
      </c>
      <c r="G317" s="133" t="str">
        <f t="shared" si="6"/>
        <v/>
      </c>
      <c r="H317" s="133" t="str">
        <f t="shared" si="10"/>
        <v/>
      </c>
      <c r="I317" s="133" t="str">
        <f t="shared" si="7"/>
        <v/>
      </c>
      <c r="J317" s="133" t="str">
        <f t="shared" si="8"/>
        <v/>
      </c>
      <c r="K317" s="138" t="s">
        <v>278</v>
      </c>
      <c r="L317" s="136"/>
    </row>
    <row r="318">
      <c r="A318" s="134">
        <v>46339.0</v>
      </c>
      <c r="B318" s="133">
        <f t="shared" si="1"/>
        <v>6</v>
      </c>
      <c r="C318" s="133" t="str">
        <f t="shared" si="2"/>
        <v>sexta-feira</v>
      </c>
      <c r="D318" s="133" t="str">
        <f t="shared" si="3"/>
        <v>sim</v>
      </c>
      <c r="E318" s="133" t="str">
        <f t="shared" si="4"/>
        <v/>
      </c>
      <c r="F318" s="133" t="str">
        <f t="shared" si="5"/>
        <v/>
      </c>
      <c r="G318" s="133" t="str">
        <f t="shared" si="6"/>
        <v/>
      </c>
      <c r="H318" s="133" t="str">
        <f t="shared" si="10"/>
        <v/>
      </c>
      <c r="I318" s="133" t="str">
        <f t="shared" si="7"/>
        <v/>
      </c>
      <c r="J318" s="133" t="str">
        <f t="shared" si="8"/>
        <v/>
      </c>
      <c r="K318" s="138" t="s">
        <v>278</v>
      </c>
      <c r="L318" s="136"/>
    </row>
    <row r="319">
      <c r="A319" s="134">
        <v>46340.0</v>
      </c>
      <c r="B319" s="133">
        <f t="shared" si="1"/>
        <v>7</v>
      </c>
      <c r="C319" s="133" t="str">
        <f t="shared" si="2"/>
        <v>sábado</v>
      </c>
      <c r="D319" s="133" t="str">
        <f t="shared" si="3"/>
        <v>nao</v>
      </c>
      <c r="E319" s="133" t="str">
        <f t="shared" si="4"/>
        <v/>
      </c>
      <c r="F319" s="133" t="str">
        <f t="shared" si="5"/>
        <v/>
      </c>
      <c r="G319" s="133" t="str">
        <f t="shared" si="6"/>
        <v/>
      </c>
      <c r="H319" s="133" t="str">
        <f t="shared" si="10"/>
        <v/>
      </c>
      <c r="I319" s="133" t="str">
        <f t="shared" si="7"/>
        <v/>
      </c>
      <c r="J319" s="133" t="str">
        <f t="shared" si="8"/>
        <v/>
      </c>
      <c r="K319" s="139" t="str">
        <f t="shared" ref="K319:K320" si="39">IF(AND(D319="sim",E319="sim",F319="",G319="",H319="",I319="",J319=""),"sim","nao")
</f>
        <v>nao</v>
      </c>
      <c r="L319" s="136"/>
    </row>
    <row r="320">
      <c r="A320" s="134">
        <v>46341.0</v>
      </c>
      <c r="B320" s="133">
        <f t="shared" si="1"/>
        <v>1</v>
      </c>
      <c r="C320" s="133" t="str">
        <f t="shared" si="2"/>
        <v>domingo</v>
      </c>
      <c r="D320" s="133" t="str">
        <f t="shared" si="3"/>
        <v>nao</v>
      </c>
      <c r="E320" s="133" t="str">
        <f t="shared" si="4"/>
        <v/>
      </c>
      <c r="F320" s="133" t="str">
        <f t="shared" si="5"/>
        <v>sim</v>
      </c>
      <c r="G320" s="133" t="str">
        <f t="shared" si="6"/>
        <v/>
      </c>
      <c r="H320" s="133" t="str">
        <f t="shared" si="10"/>
        <v/>
      </c>
      <c r="I320" s="133" t="str">
        <f t="shared" si="7"/>
        <v/>
      </c>
      <c r="J320" s="133" t="str">
        <f t="shared" si="8"/>
        <v/>
      </c>
      <c r="K320" s="139" t="str">
        <f t="shared" si="39"/>
        <v>nao</v>
      </c>
      <c r="L320" s="136"/>
    </row>
    <row r="321">
      <c r="A321" s="134">
        <v>46342.0</v>
      </c>
      <c r="B321" s="133">
        <f t="shared" si="1"/>
        <v>2</v>
      </c>
      <c r="C321" s="133" t="str">
        <f t="shared" si="2"/>
        <v>segunda-feira</v>
      </c>
      <c r="D321" s="133" t="str">
        <f t="shared" si="3"/>
        <v>sim</v>
      </c>
      <c r="E321" s="133" t="str">
        <f t="shared" si="4"/>
        <v/>
      </c>
      <c r="F321" s="133" t="str">
        <f t="shared" si="5"/>
        <v/>
      </c>
      <c r="G321" s="133" t="str">
        <f t="shared" si="6"/>
        <v/>
      </c>
      <c r="H321" s="133" t="str">
        <f t="shared" si="10"/>
        <v/>
      </c>
      <c r="I321" s="133" t="str">
        <f t="shared" si="7"/>
        <v/>
      </c>
      <c r="J321" s="133" t="str">
        <f t="shared" si="8"/>
        <v/>
      </c>
      <c r="K321" s="138" t="s">
        <v>278</v>
      </c>
      <c r="L321" s="136"/>
    </row>
    <row r="322">
      <c r="A322" s="134">
        <v>46343.0</v>
      </c>
      <c r="B322" s="133">
        <f t="shared" si="1"/>
        <v>3</v>
      </c>
      <c r="C322" s="133" t="str">
        <f t="shared" si="2"/>
        <v>terça-feira</v>
      </c>
      <c r="D322" s="133" t="str">
        <f t="shared" si="3"/>
        <v>sim</v>
      </c>
      <c r="E322" s="133" t="str">
        <f t="shared" si="4"/>
        <v/>
      </c>
      <c r="F322" s="133" t="str">
        <f t="shared" si="5"/>
        <v/>
      </c>
      <c r="G322" s="133" t="str">
        <f t="shared" si="6"/>
        <v/>
      </c>
      <c r="H322" s="133" t="str">
        <f t="shared" si="10"/>
        <v/>
      </c>
      <c r="I322" s="133" t="str">
        <f t="shared" si="7"/>
        <v/>
      </c>
      <c r="J322" s="133" t="str">
        <f t="shared" si="8"/>
        <v/>
      </c>
      <c r="K322" s="138" t="s">
        <v>278</v>
      </c>
      <c r="L322" s="136"/>
    </row>
    <row r="323">
      <c r="A323" s="134">
        <v>46344.0</v>
      </c>
      <c r="B323" s="133">
        <f t="shared" si="1"/>
        <v>4</v>
      </c>
      <c r="C323" s="133" t="str">
        <f t="shared" si="2"/>
        <v>quarta-feira</v>
      </c>
      <c r="D323" s="133" t="str">
        <f t="shared" si="3"/>
        <v>sim</v>
      </c>
      <c r="E323" s="133" t="str">
        <f t="shared" si="4"/>
        <v/>
      </c>
      <c r="F323" s="133" t="str">
        <f t="shared" si="5"/>
        <v/>
      </c>
      <c r="G323" s="133" t="str">
        <f t="shared" si="6"/>
        <v/>
      </c>
      <c r="H323" s="133" t="str">
        <f t="shared" si="10"/>
        <v/>
      </c>
      <c r="I323" s="133" t="str">
        <f t="shared" si="7"/>
        <v/>
      </c>
      <c r="J323" s="133" t="str">
        <f t="shared" si="8"/>
        <v/>
      </c>
      <c r="K323" s="138" t="s">
        <v>278</v>
      </c>
      <c r="L323" s="136"/>
    </row>
    <row r="324">
      <c r="A324" s="134">
        <v>46345.0</v>
      </c>
      <c r="B324" s="133">
        <f t="shared" si="1"/>
        <v>5</v>
      </c>
      <c r="C324" s="133" t="str">
        <f t="shared" si="2"/>
        <v>quinta-feira</v>
      </c>
      <c r="D324" s="133" t="str">
        <f t="shared" si="3"/>
        <v>sim</v>
      </c>
      <c r="E324" s="133" t="str">
        <f t="shared" si="4"/>
        <v/>
      </c>
      <c r="F324" s="133" t="str">
        <f t="shared" si="5"/>
        <v/>
      </c>
      <c r="G324" s="133" t="str">
        <f t="shared" si="6"/>
        <v/>
      </c>
      <c r="H324" s="133" t="str">
        <f t="shared" si="10"/>
        <v/>
      </c>
      <c r="I324" s="133" t="str">
        <f t="shared" si="7"/>
        <v/>
      </c>
      <c r="J324" s="133" t="str">
        <f t="shared" si="8"/>
        <v/>
      </c>
      <c r="K324" s="138" t="s">
        <v>278</v>
      </c>
      <c r="L324" s="136"/>
    </row>
    <row r="325">
      <c r="A325" s="134">
        <v>46346.0</v>
      </c>
      <c r="B325" s="133">
        <f t="shared" si="1"/>
        <v>6</v>
      </c>
      <c r="C325" s="133" t="str">
        <f t="shared" si="2"/>
        <v>sexta-feira</v>
      </c>
      <c r="D325" s="133" t="str">
        <f t="shared" si="3"/>
        <v>sim</v>
      </c>
      <c r="E325" s="133" t="str">
        <f t="shared" si="4"/>
        <v/>
      </c>
      <c r="F325" s="133" t="str">
        <f t="shared" si="5"/>
        <v>sim</v>
      </c>
      <c r="G325" s="133" t="str">
        <f t="shared" si="6"/>
        <v/>
      </c>
      <c r="H325" s="133" t="str">
        <f t="shared" si="10"/>
        <v/>
      </c>
      <c r="I325" s="133" t="str">
        <f t="shared" si="7"/>
        <v/>
      </c>
      <c r="J325" s="133" t="str">
        <f t="shared" si="8"/>
        <v/>
      </c>
      <c r="K325" s="139" t="str">
        <f t="shared" ref="K325:K327" si="40">IF(AND(D325="sim",E325="sim",F325="",G325="",H325="",I325="",J325=""),"sim","nao")
</f>
        <v>nao</v>
      </c>
      <c r="L325" s="136"/>
    </row>
    <row r="326">
      <c r="A326" s="134">
        <v>46347.0</v>
      </c>
      <c r="B326" s="133">
        <f t="shared" si="1"/>
        <v>7</v>
      </c>
      <c r="C326" s="133" t="str">
        <f t="shared" si="2"/>
        <v>sábado</v>
      </c>
      <c r="D326" s="133" t="str">
        <f t="shared" si="3"/>
        <v>nao</v>
      </c>
      <c r="E326" s="133" t="str">
        <f t="shared" si="4"/>
        <v/>
      </c>
      <c r="F326" s="133" t="str">
        <f t="shared" si="5"/>
        <v/>
      </c>
      <c r="G326" s="133" t="str">
        <f t="shared" si="6"/>
        <v/>
      </c>
      <c r="H326" s="133" t="str">
        <f t="shared" si="10"/>
        <v/>
      </c>
      <c r="I326" s="133" t="str">
        <f t="shared" si="7"/>
        <v/>
      </c>
      <c r="J326" s="133" t="str">
        <f t="shared" si="8"/>
        <v/>
      </c>
      <c r="K326" s="139" t="str">
        <f t="shared" si="40"/>
        <v>nao</v>
      </c>
      <c r="L326" s="136"/>
    </row>
    <row r="327">
      <c r="A327" s="134">
        <v>46348.0</v>
      </c>
      <c r="B327" s="133">
        <f t="shared" si="1"/>
        <v>1</v>
      </c>
      <c r="C327" s="133" t="str">
        <f t="shared" si="2"/>
        <v>domingo</v>
      </c>
      <c r="D327" s="133" t="str">
        <f t="shared" si="3"/>
        <v>nao</v>
      </c>
      <c r="E327" s="133" t="str">
        <f t="shared" si="4"/>
        <v/>
      </c>
      <c r="F327" s="133" t="str">
        <f t="shared" si="5"/>
        <v/>
      </c>
      <c r="G327" s="133" t="str">
        <f t="shared" si="6"/>
        <v/>
      </c>
      <c r="H327" s="133" t="str">
        <f t="shared" si="10"/>
        <v/>
      </c>
      <c r="I327" s="133" t="str">
        <f t="shared" si="7"/>
        <v/>
      </c>
      <c r="J327" s="133" t="str">
        <f t="shared" si="8"/>
        <v/>
      </c>
      <c r="K327" s="139" t="str">
        <f t="shared" si="40"/>
        <v>nao</v>
      </c>
      <c r="L327" s="136"/>
    </row>
    <row r="328">
      <c r="A328" s="134">
        <v>46349.0</v>
      </c>
      <c r="B328" s="133">
        <f t="shared" si="1"/>
        <v>2</v>
      </c>
      <c r="C328" s="133" t="str">
        <f t="shared" si="2"/>
        <v>segunda-feira</v>
      </c>
      <c r="D328" s="133" t="str">
        <f t="shared" si="3"/>
        <v>sim</v>
      </c>
      <c r="E328" s="133" t="str">
        <f t="shared" si="4"/>
        <v/>
      </c>
      <c r="F328" s="133" t="str">
        <f t="shared" si="5"/>
        <v/>
      </c>
      <c r="G328" s="133" t="str">
        <f t="shared" si="6"/>
        <v/>
      </c>
      <c r="H328" s="133" t="str">
        <f t="shared" si="10"/>
        <v/>
      </c>
      <c r="I328" s="133" t="str">
        <f t="shared" si="7"/>
        <v/>
      </c>
      <c r="J328" s="133" t="str">
        <f t="shared" si="8"/>
        <v/>
      </c>
      <c r="K328" s="138" t="s">
        <v>278</v>
      </c>
      <c r="L328" s="136"/>
    </row>
    <row r="329">
      <c r="A329" s="134">
        <v>46350.0</v>
      </c>
      <c r="B329" s="133">
        <f t="shared" si="1"/>
        <v>3</v>
      </c>
      <c r="C329" s="133" t="str">
        <f t="shared" si="2"/>
        <v>terça-feira</v>
      </c>
      <c r="D329" s="133" t="str">
        <f t="shared" si="3"/>
        <v>sim</v>
      </c>
      <c r="E329" s="133" t="str">
        <f t="shared" si="4"/>
        <v/>
      </c>
      <c r="F329" s="133" t="str">
        <f t="shared" si="5"/>
        <v/>
      </c>
      <c r="G329" s="133" t="str">
        <f t="shared" si="6"/>
        <v/>
      </c>
      <c r="H329" s="133" t="str">
        <f t="shared" si="10"/>
        <v/>
      </c>
      <c r="I329" s="133" t="str">
        <f t="shared" si="7"/>
        <v/>
      </c>
      <c r="J329" s="133" t="str">
        <f t="shared" si="8"/>
        <v/>
      </c>
      <c r="K329" s="138" t="s">
        <v>278</v>
      </c>
      <c r="L329" s="136"/>
    </row>
    <row r="330">
      <c r="A330" s="134">
        <v>46351.0</v>
      </c>
      <c r="B330" s="133">
        <f t="shared" si="1"/>
        <v>4</v>
      </c>
      <c r="C330" s="133" t="str">
        <f t="shared" si="2"/>
        <v>quarta-feira</v>
      </c>
      <c r="D330" s="133" t="str">
        <f t="shared" si="3"/>
        <v>sim</v>
      </c>
      <c r="E330" s="133" t="str">
        <f t="shared" si="4"/>
        <v/>
      </c>
      <c r="F330" s="133" t="str">
        <f t="shared" si="5"/>
        <v/>
      </c>
      <c r="G330" s="133" t="str">
        <f t="shared" si="6"/>
        <v/>
      </c>
      <c r="H330" s="133" t="str">
        <f t="shared" si="10"/>
        <v/>
      </c>
      <c r="I330" s="133" t="str">
        <f t="shared" si="7"/>
        <v/>
      </c>
      <c r="J330" s="133" t="str">
        <f t="shared" si="8"/>
        <v/>
      </c>
      <c r="K330" s="138" t="s">
        <v>278</v>
      </c>
      <c r="L330" s="136"/>
    </row>
    <row r="331">
      <c r="A331" s="134">
        <v>46352.0</v>
      </c>
      <c r="B331" s="133">
        <f t="shared" si="1"/>
        <v>5</v>
      </c>
      <c r="C331" s="133" t="str">
        <f t="shared" si="2"/>
        <v>quinta-feira</v>
      </c>
      <c r="D331" s="133" t="str">
        <f t="shared" si="3"/>
        <v>sim</v>
      </c>
      <c r="E331" s="133" t="str">
        <f t="shared" si="4"/>
        <v/>
      </c>
      <c r="F331" s="133" t="str">
        <f t="shared" si="5"/>
        <v/>
      </c>
      <c r="G331" s="133" t="str">
        <f t="shared" si="6"/>
        <v/>
      </c>
      <c r="H331" s="133" t="str">
        <f t="shared" si="10"/>
        <v/>
      </c>
      <c r="I331" s="133" t="str">
        <f t="shared" si="7"/>
        <v/>
      </c>
      <c r="J331" s="133" t="str">
        <f t="shared" si="8"/>
        <v/>
      </c>
      <c r="K331" s="138" t="s">
        <v>278</v>
      </c>
      <c r="L331" s="136"/>
    </row>
    <row r="332">
      <c r="A332" s="134">
        <v>46353.0</v>
      </c>
      <c r="B332" s="133">
        <f t="shared" si="1"/>
        <v>6</v>
      </c>
      <c r="C332" s="133" t="str">
        <f t="shared" si="2"/>
        <v>sexta-feira</v>
      </c>
      <c r="D332" s="133" t="str">
        <f t="shared" si="3"/>
        <v>sim</v>
      </c>
      <c r="E332" s="133" t="str">
        <f t="shared" si="4"/>
        <v/>
      </c>
      <c r="F332" s="133" t="str">
        <f t="shared" si="5"/>
        <v/>
      </c>
      <c r="G332" s="133" t="str">
        <f t="shared" si="6"/>
        <v/>
      </c>
      <c r="H332" s="133" t="str">
        <f t="shared" si="10"/>
        <v/>
      </c>
      <c r="I332" s="133" t="str">
        <f t="shared" si="7"/>
        <v/>
      </c>
      <c r="J332" s="133" t="str">
        <f t="shared" si="8"/>
        <v/>
      </c>
      <c r="K332" s="138" t="s">
        <v>278</v>
      </c>
      <c r="L332" s="136"/>
    </row>
    <row r="333">
      <c r="A333" s="134">
        <v>46354.0</v>
      </c>
      <c r="B333" s="133">
        <f t="shared" si="1"/>
        <v>7</v>
      </c>
      <c r="C333" s="133" t="str">
        <f t="shared" si="2"/>
        <v>sábado</v>
      </c>
      <c r="D333" s="133" t="str">
        <f t="shared" si="3"/>
        <v>nao</v>
      </c>
      <c r="E333" s="133" t="str">
        <f t="shared" si="4"/>
        <v>sim</v>
      </c>
      <c r="F333" s="133" t="str">
        <f t="shared" si="5"/>
        <v/>
      </c>
      <c r="G333" s="133" t="str">
        <f t="shared" si="6"/>
        <v/>
      </c>
      <c r="H333" s="133" t="str">
        <f t="shared" si="10"/>
        <v/>
      </c>
      <c r="I333" s="133" t="str">
        <f t="shared" si="7"/>
        <v/>
      </c>
      <c r="J333" s="133" t="str">
        <f t="shared" si="8"/>
        <v/>
      </c>
      <c r="K333" s="138" t="s">
        <v>278</v>
      </c>
      <c r="L333" s="136"/>
    </row>
    <row r="334">
      <c r="A334" s="134">
        <v>46355.0</v>
      </c>
      <c r="B334" s="133">
        <f t="shared" si="1"/>
        <v>1</v>
      </c>
      <c r="C334" s="133" t="str">
        <f t="shared" si="2"/>
        <v>domingo</v>
      </c>
      <c r="D334" s="133" t="str">
        <f t="shared" si="3"/>
        <v>nao</v>
      </c>
      <c r="E334" s="133" t="str">
        <f t="shared" si="4"/>
        <v/>
      </c>
      <c r="F334" s="133" t="str">
        <f t="shared" si="5"/>
        <v/>
      </c>
      <c r="G334" s="133" t="str">
        <f t="shared" si="6"/>
        <v/>
      </c>
      <c r="H334" s="133" t="str">
        <f t="shared" si="10"/>
        <v/>
      </c>
      <c r="I334" s="133" t="str">
        <f t="shared" si="7"/>
        <v/>
      </c>
      <c r="J334" s="133" t="str">
        <f t="shared" si="8"/>
        <v/>
      </c>
      <c r="K334" s="139" t="str">
        <f>IF(AND(D334="sim",E334="sim",F334="",G334="",H334="",I334="",J334=""),"sim","nao")
</f>
        <v>nao</v>
      </c>
      <c r="L334" s="136"/>
    </row>
    <row r="335">
      <c r="A335" s="134">
        <v>46356.0</v>
      </c>
      <c r="B335" s="133">
        <f t="shared" si="1"/>
        <v>2</v>
      </c>
      <c r="C335" s="133" t="str">
        <f t="shared" si="2"/>
        <v>segunda-feira</v>
      </c>
      <c r="D335" s="133" t="str">
        <f t="shared" si="3"/>
        <v>sim</v>
      </c>
      <c r="E335" s="133" t="str">
        <f t="shared" si="4"/>
        <v/>
      </c>
      <c r="F335" s="133" t="str">
        <f t="shared" si="5"/>
        <v/>
      </c>
      <c r="G335" s="133" t="str">
        <f t="shared" si="6"/>
        <v/>
      </c>
      <c r="H335" s="133" t="str">
        <f t="shared" si="10"/>
        <v/>
      </c>
      <c r="I335" s="133" t="str">
        <f t="shared" si="7"/>
        <v/>
      </c>
      <c r="J335" s="133" t="str">
        <f t="shared" si="8"/>
        <v/>
      </c>
      <c r="K335" s="138" t="s">
        <v>278</v>
      </c>
      <c r="L335" s="136"/>
    </row>
    <row r="336">
      <c r="A336" s="134">
        <v>46357.0</v>
      </c>
      <c r="B336" s="133">
        <f t="shared" si="1"/>
        <v>3</v>
      </c>
      <c r="C336" s="133" t="str">
        <f t="shared" si="2"/>
        <v>terça-feira</v>
      </c>
      <c r="D336" s="133" t="str">
        <f t="shared" si="3"/>
        <v>sim</v>
      </c>
      <c r="E336" s="133" t="str">
        <f t="shared" si="4"/>
        <v/>
      </c>
      <c r="F336" s="133" t="str">
        <f t="shared" si="5"/>
        <v/>
      </c>
      <c r="G336" s="133" t="str">
        <f t="shared" si="6"/>
        <v/>
      </c>
      <c r="H336" s="133" t="str">
        <f t="shared" si="10"/>
        <v/>
      </c>
      <c r="I336" s="133" t="str">
        <f t="shared" si="7"/>
        <v/>
      </c>
      <c r="J336" s="133" t="str">
        <f t="shared" si="8"/>
        <v/>
      </c>
      <c r="K336" s="138" t="s">
        <v>278</v>
      </c>
      <c r="L336" s="136"/>
    </row>
    <row r="337">
      <c r="A337" s="134">
        <v>46358.0</v>
      </c>
      <c r="B337" s="133">
        <f t="shared" si="1"/>
        <v>4</v>
      </c>
      <c r="C337" s="133" t="str">
        <f t="shared" si="2"/>
        <v>quarta-feira</v>
      </c>
      <c r="D337" s="133" t="str">
        <f t="shared" si="3"/>
        <v>sim</v>
      </c>
      <c r="E337" s="133" t="str">
        <f t="shared" si="4"/>
        <v/>
      </c>
      <c r="F337" s="133" t="str">
        <f t="shared" si="5"/>
        <v/>
      </c>
      <c r="G337" s="133" t="str">
        <f t="shared" si="6"/>
        <v/>
      </c>
      <c r="H337" s="133" t="str">
        <f t="shared" si="10"/>
        <v/>
      </c>
      <c r="I337" s="133" t="str">
        <f t="shared" si="7"/>
        <v/>
      </c>
      <c r="J337" s="133" t="str">
        <f t="shared" si="8"/>
        <v/>
      </c>
      <c r="K337" s="138" t="s">
        <v>278</v>
      </c>
      <c r="L337" s="136"/>
    </row>
    <row r="338">
      <c r="A338" s="134">
        <v>46359.0</v>
      </c>
      <c r="B338" s="133">
        <f t="shared" si="1"/>
        <v>5</v>
      </c>
      <c r="C338" s="133" t="str">
        <f t="shared" si="2"/>
        <v>quinta-feira</v>
      </c>
      <c r="D338" s="133" t="str">
        <f t="shared" si="3"/>
        <v>sim</v>
      </c>
      <c r="E338" s="133" t="str">
        <f t="shared" si="4"/>
        <v/>
      </c>
      <c r="F338" s="133" t="str">
        <f t="shared" si="5"/>
        <v/>
      </c>
      <c r="G338" s="133" t="str">
        <f t="shared" si="6"/>
        <v/>
      </c>
      <c r="H338" s="133" t="str">
        <f t="shared" si="10"/>
        <v/>
      </c>
      <c r="I338" s="133" t="str">
        <f t="shared" si="7"/>
        <v/>
      </c>
      <c r="J338" s="133" t="str">
        <f t="shared" si="8"/>
        <v/>
      </c>
      <c r="K338" s="138" t="s">
        <v>278</v>
      </c>
      <c r="L338" s="136"/>
    </row>
    <row r="339">
      <c r="A339" s="134">
        <v>46360.0</v>
      </c>
      <c r="B339" s="133">
        <f t="shared" si="1"/>
        <v>6</v>
      </c>
      <c r="C339" s="133" t="str">
        <f t="shared" si="2"/>
        <v>sexta-feira</v>
      </c>
      <c r="D339" s="133" t="str">
        <f t="shared" si="3"/>
        <v>sim</v>
      </c>
      <c r="E339" s="133" t="str">
        <f t="shared" si="4"/>
        <v/>
      </c>
      <c r="F339" s="133" t="str">
        <f t="shared" si="5"/>
        <v/>
      </c>
      <c r="G339" s="133" t="str">
        <f t="shared" si="6"/>
        <v/>
      </c>
      <c r="H339" s="133" t="str">
        <f t="shared" si="10"/>
        <v/>
      </c>
      <c r="I339" s="133" t="str">
        <f t="shared" si="7"/>
        <v/>
      </c>
      <c r="J339" s="133" t="str">
        <f t="shared" si="8"/>
        <v/>
      </c>
      <c r="K339" s="138" t="s">
        <v>278</v>
      </c>
      <c r="L339" s="136"/>
    </row>
    <row r="340">
      <c r="A340" s="134">
        <v>46361.0</v>
      </c>
      <c r="B340" s="133">
        <f t="shared" si="1"/>
        <v>7</v>
      </c>
      <c r="C340" s="133" t="str">
        <f t="shared" si="2"/>
        <v>sábado</v>
      </c>
      <c r="D340" s="133" t="str">
        <f t="shared" si="3"/>
        <v>nao</v>
      </c>
      <c r="E340" s="133" t="str">
        <f t="shared" si="4"/>
        <v/>
      </c>
      <c r="F340" s="133" t="str">
        <f t="shared" si="5"/>
        <v/>
      </c>
      <c r="G340" s="133" t="str">
        <f t="shared" si="6"/>
        <v/>
      </c>
      <c r="H340" s="133" t="str">
        <f t="shared" si="10"/>
        <v/>
      </c>
      <c r="I340" s="133" t="str">
        <f t="shared" si="7"/>
        <v/>
      </c>
      <c r="J340" s="133" t="str">
        <f t="shared" si="8"/>
        <v/>
      </c>
      <c r="K340" s="139" t="str">
        <f t="shared" ref="K340:K341" si="41">IF(AND(D340="sim",E340="sim",F340="",G340="",H340="",I340="",J340=""),"sim","nao")
</f>
        <v>nao</v>
      </c>
      <c r="L340" s="136"/>
    </row>
    <row r="341">
      <c r="A341" s="134">
        <v>46362.0</v>
      </c>
      <c r="B341" s="133">
        <f t="shared" si="1"/>
        <v>1</v>
      </c>
      <c r="C341" s="133" t="str">
        <f t="shared" si="2"/>
        <v>domingo</v>
      </c>
      <c r="D341" s="133" t="str">
        <f t="shared" si="3"/>
        <v>nao</v>
      </c>
      <c r="E341" s="133" t="str">
        <f t="shared" si="4"/>
        <v/>
      </c>
      <c r="F341" s="133" t="str">
        <f t="shared" si="5"/>
        <v/>
      </c>
      <c r="G341" s="133" t="str">
        <f t="shared" si="6"/>
        <v/>
      </c>
      <c r="H341" s="133" t="str">
        <f t="shared" si="10"/>
        <v/>
      </c>
      <c r="I341" s="133" t="str">
        <f t="shared" si="7"/>
        <v/>
      </c>
      <c r="J341" s="133" t="str">
        <f t="shared" si="8"/>
        <v/>
      </c>
      <c r="K341" s="139" t="str">
        <f t="shared" si="41"/>
        <v>nao</v>
      </c>
      <c r="L341" s="136"/>
    </row>
    <row r="342">
      <c r="A342" s="134">
        <v>46363.0</v>
      </c>
      <c r="B342" s="133">
        <f t="shared" si="1"/>
        <v>2</v>
      </c>
      <c r="C342" s="133" t="str">
        <f t="shared" si="2"/>
        <v>segunda-feira</v>
      </c>
      <c r="D342" s="133" t="str">
        <f t="shared" si="3"/>
        <v>sim</v>
      </c>
      <c r="E342" s="133" t="str">
        <f t="shared" si="4"/>
        <v/>
      </c>
      <c r="F342" s="133" t="str">
        <f t="shared" si="5"/>
        <v/>
      </c>
      <c r="G342" s="133" t="str">
        <f t="shared" si="6"/>
        <v/>
      </c>
      <c r="H342" s="133" t="str">
        <f t="shared" si="10"/>
        <v/>
      </c>
      <c r="I342" s="133" t="str">
        <f t="shared" si="7"/>
        <v/>
      </c>
      <c r="J342" s="133" t="str">
        <f t="shared" si="8"/>
        <v/>
      </c>
      <c r="K342" s="138" t="s">
        <v>278</v>
      </c>
      <c r="L342" s="136"/>
    </row>
    <row r="343">
      <c r="A343" s="134">
        <v>46364.0</v>
      </c>
      <c r="B343" s="133">
        <f t="shared" si="1"/>
        <v>3</v>
      </c>
      <c r="C343" s="133" t="str">
        <f t="shared" si="2"/>
        <v>terça-feira</v>
      </c>
      <c r="D343" s="133" t="str">
        <f t="shared" si="3"/>
        <v>sim</v>
      </c>
      <c r="E343" s="133" t="str">
        <f t="shared" si="4"/>
        <v/>
      </c>
      <c r="F343" s="133" t="str">
        <f t="shared" si="5"/>
        <v>sim</v>
      </c>
      <c r="G343" s="133" t="str">
        <f t="shared" si="6"/>
        <v/>
      </c>
      <c r="H343" s="133" t="str">
        <f t="shared" si="10"/>
        <v/>
      </c>
      <c r="I343" s="133" t="str">
        <f t="shared" si="7"/>
        <v/>
      </c>
      <c r="J343" s="133" t="str">
        <f t="shared" si="8"/>
        <v/>
      </c>
      <c r="K343" s="139" t="str">
        <f>IF(AND(D343="sim",E343="sim",F343="",G343="",H343="",I343="",J343=""),"sim","nao")
</f>
        <v>nao</v>
      </c>
      <c r="L343" s="136"/>
    </row>
    <row r="344">
      <c r="A344" s="134">
        <v>46365.0</v>
      </c>
      <c r="B344" s="133">
        <f t="shared" si="1"/>
        <v>4</v>
      </c>
      <c r="C344" s="133" t="str">
        <f t="shared" si="2"/>
        <v>quarta-feira</v>
      </c>
      <c r="D344" s="133" t="str">
        <f t="shared" si="3"/>
        <v>sim</v>
      </c>
      <c r="E344" s="133" t="str">
        <f t="shared" si="4"/>
        <v/>
      </c>
      <c r="F344" s="133" t="str">
        <f t="shared" si="5"/>
        <v/>
      </c>
      <c r="G344" s="133" t="str">
        <f t="shared" si="6"/>
        <v/>
      </c>
      <c r="H344" s="133" t="str">
        <f t="shared" si="10"/>
        <v/>
      </c>
      <c r="I344" s="133" t="str">
        <f t="shared" si="7"/>
        <v/>
      </c>
      <c r="J344" s="133" t="str">
        <f t="shared" si="8"/>
        <v/>
      </c>
      <c r="K344" s="138" t="s">
        <v>278</v>
      </c>
      <c r="L344" s="136"/>
    </row>
    <row r="345">
      <c r="A345" s="134">
        <v>46366.0</v>
      </c>
      <c r="B345" s="133">
        <f t="shared" si="1"/>
        <v>5</v>
      </c>
      <c r="C345" s="133" t="str">
        <f t="shared" si="2"/>
        <v>quinta-feira</v>
      </c>
      <c r="D345" s="133" t="str">
        <f t="shared" si="3"/>
        <v>sim</v>
      </c>
      <c r="E345" s="133" t="str">
        <f t="shared" si="4"/>
        <v/>
      </c>
      <c r="F345" s="133" t="str">
        <f t="shared" si="5"/>
        <v/>
      </c>
      <c r="G345" s="133" t="str">
        <f t="shared" si="6"/>
        <v/>
      </c>
      <c r="H345" s="133" t="str">
        <f t="shared" si="10"/>
        <v/>
      </c>
      <c r="I345" s="133" t="str">
        <f t="shared" si="7"/>
        <v/>
      </c>
      <c r="J345" s="133" t="str">
        <f t="shared" si="8"/>
        <v/>
      </c>
      <c r="K345" s="138" t="s">
        <v>278</v>
      </c>
      <c r="L345" s="136"/>
    </row>
    <row r="346">
      <c r="A346" s="134">
        <v>46367.0</v>
      </c>
      <c r="B346" s="133">
        <f t="shared" si="1"/>
        <v>6</v>
      </c>
      <c r="C346" s="133" t="str">
        <f t="shared" si="2"/>
        <v>sexta-feira</v>
      </c>
      <c r="D346" s="133" t="str">
        <f t="shared" si="3"/>
        <v>sim</v>
      </c>
      <c r="E346" s="133" t="str">
        <f t="shared" si="4"/>
        <v/>
      </c>
      <c r="F346" s="133" t="str">
        <f t="shared" si="5"/>
        <v/>
      </c>
      <c r="G346" s="133" t="str">
        <f t="shared" si="6"/>
        <v/>
      </c>
      <c r="H346" s="133" t="str">
        <f t="shared" si="10"/>
        <v/>
      </c>
      <c r="I346" s="133" t="str">
        <f t="shared" si="7"/>
        <v/>
      </c>
      <c r="J346" s="133" t="str">
        <f t="shared" si="8"/>
        <v/>
      </c>
      <c r="K346" s="138" t="s">
        <v>278</v>
      </c>
      <c r="L346" s="136"/>
    </row>
    <row r="347">
      <c r="A347" s="134">
        <v>46368.0</v>
      </c>
      <c r="B347" s="133">
        <f t="shared" si="1"/>
        <v>7</v>
      </c>
      <c r="C347" s="133" t="str">
        <f t="shared" si="2"/>
        <v>sábado</v>
      </c>
      <c r="D347" s="133" t="str">
        <f t="shared" si="3"/>
        <v>nao</v>
      </c>
      <c r="E347" s="133" t="str">
        <f t="shared" si="4"/>
        <v/>
      </c>
      <c r="F347" s="133" t="str">
        <f t="shared" si="5"/>
        <v/>
      </c>
      <c r="G347" s="133" t="str">
        <f t="shared" si="6"/>
        <v/>
      </c>
      <c r="H347" s="133" t="str">
        <f t="shared" si="10"/>
        <v/>
      </c>
      <c r="I347" s="133" t="str">
        <f t="shared" si="7"/>
        <v/>
      </c>
      <c r="J347" s="133" t="str">
        <f t="shared" si="8"/>
        <v/>
      </c>
      <c r="K347" s="139" t="str">
        <f t="shared" ref="K347:K348" si="42">IF(AND(D347="sim",E347="sim",F347="",G347="",H347="",I347="",J347=""),"sim","nao")
</f>
        <v>nao</v>
      </c>
      <c r="L347" s="136"/>
    </row>
    <row r="348">
      <c r="A348" s="134">
        <v>46369.0</v>
      </c>
      <c r="B348" s="133">
        <f t="shared" si="1"/>
        <v>1</v>
      </c>
      <c r="C348" s="133" t="str">
        <f t="shared" si="2"/>
        <v>domingo</v>
      </c>
      <c r="D348" s="133" t="str">
        <f t="shared" si="3"/>
        <v>nao</v>
      </c>
      <c r="E348" s="133" t="str">
        <f t="shared" si="4"/>
        <v/>
      </c>
      <c r="F348" s="133" t="str">
        <f t="shared" si="5"/>
        <v/>
      </c>
      <c r="G348" s="133" t="str">
        <f t="shared" si="6"/>
        <v/>
      </c>
      <c r="H348" s="133" t="str">
        <f t="shared" si="10"/>
        <v/>
      </c>
      <c r="I348" s="133" t="str">
        <f t="shared" si="7"/>
        <v/>
      </c>
      <c r="J348" s="133" t="str">
        <f t="shared" si="8"/>
        <v/>
      </c>
      <c r="K348" s="139" t="str">
        <f t="shared" si="42"/>
        <v>nao</v>
      </c>
      <c r="L348" s="136"/>
    </row>
    <row r="349">
      <c r="A349" s="134">
        <v>46370.0</v>
      </c>
      <c r="B349" s="133">
        <f t="shared" si="1"/>
        <v>2</v>
      </c>
      <c r="C349" s="133" t="str">
        <f t="shared" si="2"/>
        <v>segunda-feira</v>
      </c>
      <c r="D349" s="133" t="str">
        <f t="shared" si="3"/>
        <v>sim</v>
      </c>
      <c r="E349" s="133" t="str">
        <f t="shared" si="4"/>
        <v/>
      </c>
      <c r="F349" s="133" t="str">
        <f t="shared" si="5"/>
        <v/>
      </c>
      <c r="G349" s="133" t="str">
        <f t="shared" si="6"/>
        <v/>
      </c>
      <c r="H349" s="133" t="str">
        <f t="shared" si="10"/>
        <v/>
      </c>
      <c r="I349" s="133" t="str">
        <f t="shared" si="7"/>
        <v/>
      </c>
      <c r="J349" s="133" t="str">
        <f t="shared" si="8"/>
        <v/>
      </c>
      <c r="K349" s="138" t="s">
        <v>278</v>
      </c>
      <c r="L349" s="136"/>
    </row>
    <row r="350">
      <c r="A350" s="134">
        <v>46371.0</v>
      </c>
      <c r="B350" s="133">
        <f t="shared" si="1"/>
        <v>3</v>
      </c>
      <c r="C350" s="133" t="str">
        <f t="shared" si="2"/>
        <v>terça-feira</v>
      </c>
      <c r="D350" s="133" t="str">
        <f t="shared" si="3"/>
        <v>sim</v>
      </c>
      <c r="E350" s="133" t="str">
        <f t="shared" si="4"/>
        <v/>
      </c>
      <c r="F350" s="133" t="str">
        <f t="shared" si="5"/>
        <v/>
      </c>
      <c r="G350" s="133" t="str">
        <f t="shared" si="6"/>
        <v/>
      </c>
      <c r="H350" s="133" t="str">
        <f t="shared" si="10"/>
        <v/>
      </c>
      <c r="I350" s="133" t="str">
        <f t="shared" si="7"/>
        <v/>
      </c>
      <c r="J350" s="133" t="str">
        <f t="shared" si="8"/>
        <v/>
      </c>
      <c r="K350" s="138" t="s">
        <v>278</v>
      </c>
      <c r="L350" s="136"/>
    </row>
    <row r="351">
      <c r="A351" s="134">
        <v>46372.0</v>
      </c>
      <c r="B351" s="133">
        <f t="shared" si="1"/>
        <v>4</v>
      </c>
      <c r="C351" s="133" t="str">
        <f t="shared" si="2"/>
        <v>quarta-feira</v>
      </c>
      <c r="D351" s="133" t="str">
        <f t="shared" si="3"/>
        <v>sim</v>
      </c>
      <c r="E351" s="133" t="str">
        <f t="shared" si="4"/>
        <v/>
      </c>
      <c r="F351" s="133" t="str">
        <f t="shared" si="5"/>
        <v/>
      </c>
      <c r="G351" s="133" t="str">
        <f t="shared" si="6"/>
        <v/>
      </c>
      <c r="H351" s="133" t="str">
        <f t="shared" si="10"/>
        <v/>
      </c>
      <c r="I351" s="133" t="str">
        <f t="shared" si="7"/>
        <v/>
      </c>
      <c r="J351" s="133" t="str">
        <f t="shared" si="8"/>
        <v/>
      </c>
      <c r="K351" s="138" t="s">
        <v>278</v>
      </c>
      <c r="L351" s="136"/>
    </row>
    <row r="352">
      <c r="A352" s="134">
        <v>46373.0</v>
      </c>
      <c r="B352" s="133">
        <f t="shared" si="1"/>
        <v>5</v>
      </c>
      <c r="C352" s="133" t="str">
        <f t="shared" si="2"/>
        <v>quinta-feira</v>
      </c>
      <c r="D352" s="133" t="str">
        <f t="shared" si="3"/>
        <v>sim</v>
      </c>
      <c r="E352" s="133" t="str">
        <f t="shared" si="4"/>
        <v/>
      </c>
      <c r="F352" s="133" t="str">
        <f t="shared" si="5"/>
        <v/>
      </c>
      <c r="G352" s="133" t="str">
        <f t="shared" si="6"/>
        <v/>
      </c>
      <c r="H352" s="133" t="str">
        <f t="shared" si="10"/>
        <v/>
      </c>
      <c r="I352" s="133" t="str">
        <f t="shared" si="7"/>
        <v/>
      </c>
      <c r="J352" s="133" t="str">
        <f t="shared" si="8"/>
        <v>sim</v>
      </c>
      <c r="K352" s="139" t="str">
        <f t="shared" ref="K352:K366" si="43">IF(AND(D352="sim",E352="sim",F352="",G352="",H352="",I352="",J352=""),"sim","nao")
</f>
        <v>nao</v>
      </c>
      <c r="L352" s="136"/>
    </row>
    <row r="353">
      <c r="A353" s="134">
        <v>46374.0</v>
      </c>
      <c r="B353" s="133">
        <f t="shared" si="1"/>
        <v>6</v>
      </c>
      <c r="C353" s="133" t="str">
        <f t="shared" si="2"/>
        <v>sexta-feira</v>
      </c>
      <c r="D353" s="133" t="str">
        <f t="shared" si="3"/>
        <v>sim</v>
      </c>
      <c r="E353" s="133" t="str">
        <f t="shared" si="4"/>
        <v/>
      </c>
      <c r="F353" s="133" t="str">
        <f t="shared" si="5"/>
        <v/>
      </c>
      <c r="G353" s="133" t="str">
        <f t="shared" si="6"/>
        <v/>
      </c>
      <c r="H353" s="133" t="str">
        <f t="shared" si="10"/>
        <v/>
      </c>
      <c r="I353" s="133" t="str">
        <f t="shared" si="7"/>
        <v/>
      </c>
      <c r="J353" s="133" t="str">
        <f t="shared" si="8"/>
        <v>sim</v>
      </c>
      <c r="K353" s="139" t="str">
        <f t="shared" si="43"/>
        <v>nao</v>
      </c>
      <c r="L353" s="136"/>
    </row>
    <row r="354">
      <c r="A354" s="134">
        <v>46375.0</v>
      </c>
      <c r="B354" s="133">
        <f t="shared" si="1"/>
        <v>7</v>
      </c>
      <c r="C354" s="133" t="str">
        <f t="shared" si="2"/>
        <v>sábado</v>
      </c>
      <c r="D354" s="133" t="str">
        <f t="shared" si="3"/>
        <v>nao</v>
      </c>
      <c r="E354" s="133" t="str">
        <f t="shared" si="4"/>
        <v/>
      </c>
      <c r="F354" s="133" t="str">
        <f t="shared" si="5"/>
        <v/>
      </c>
      <c r="G354" s="133" t="str">
        <f t="shared" si="6"/>
        <v/>
      </c>
      <c r="H354" s="133" t="str">
        <f t="shared" si="10"/>
        <v/>
      </c>
      <c r="I354" s="133" t="str">
        <f t="shared" si="7"/>
        <v/>
      </c>
      <c r="J354" s="133" t="str">
        <f t="shared" si="8"/>
        <v/>
      </c>
      <c r="K354" s="139" t="str">
        <f t="shared" si="43"/>
        <v>nao</v>
      </c>
      <c r="L354" s="136"/>
    </row>
    <row r="355">
      <c r="A355" s="134">
        <v>46376.0</v>
      </c>
      <c r="B355" s="133">
        <f t="shared" si="1"/>
        <v>1</v>
      </c>
      <c r="C355" s="133" t="str">
        <f t="shared" si="2"/>
        <v>domingo</v>
      </c>
      <c r="D355" s="133" t="str">
        <f t="shared" si="3"/>
        <v>nao</v>
      </c>
      <c r="E355" s="133" t="str">
        <f t="shared" si="4"/>
        <v/>
      </c>
      <c r="F355" s="133" t="str">
        <f t="shared" si="5"/>
        <v/>
      </c>
      <c r="G355" s="133" t="str">
        <f t="shared" si="6"/>
        <v/>
      </c>
      <c r="H355" s="133" t="str">
        <f t="shared" si="10"/>
        <v/>
      </c>
      <c r="I355" s="133" t="str">
        <f t="shared" si="7"/>
        <v/>
      </c>
      <c r="J355" s="133" t="str">
        <f t="shared" si="8"/>
        <v/>
      </c>
      <c r="K355" s="139" t="str">
        <f t="shared" si="43"/>
        <v>nao</v>
      </c>
      <c r="L355" s="136"/>
    </row>
    <row r="356">
      <c r="A356" s="134">
        <v>46377.0</v>
      </c>
      <c r="B356" s="133">
        <f t="shared" si="1"/>
        <v>2</v>
      </c>
      <c r="C356" s="133" t="str">
        <f t="shared" si="2"/>
        <v>segunda-feira</v>
      </c>
      <c r="D356" s="133" t="str">
        <f t="shared" si="3"/>
        <v>sim</v>
      </c>
      <c r="E356" s="133" t="str">
        <f t="shared" si="4"/>
        <v/>
      </c>
      <c r="F356" s="133" t="str">
        <f t="shared" si="5"/>
        <v/>
      </c>
      <c r="G356" s="133" t="str">
        <f t="shared" si="6"/>
        <v/>
      </c>
      <c r="H356" s="133" t="str">
        <f t="shared" si="10"/>
        <v/>
      </c>
      <c r="I356" s="133" t="str">
        <f t="shared" si="7"/>
        <v/>
      </c>
      <c r="J356" s="133" t="str">
        <f t="shared" si="8"/>
        <v>sim</v>
      </c>
      <c r="K356" s="139" t="str">
        <f t="shared" si="43"/>
        <v>nao</v>
      </c>
      <c r="L356" s="136"/>
    </row>
    <row r="357">
      <c r="A357" s="134">
        <v>46378.0</v>
      </c>
      <c r="B357" s="133">
        <f t="shared" si="1"/>
        <v>3</v>
      </c>
      <c r="C357" s="133" t="str">
        <f t="shared" si="2"/>
        <v>terça-feira</v>
      </c>
      <c r="D357" s="133" t="str">
        <f t="shared" si="3"/>
        <v>sim</v>
      </c>
      <c r="E357" s="133" t="str">
        <f t="shared" si="4"/>
        <v/>
      </c>
      <c r="F357" s="133" t="str">
        <f t="shared" si="5"/>
        <v/>
      </c>
      <c r="G357" s="133" t="str">
        <f t="shared" si="6"/>
        <v/>
      </c>
      <c r="H357" s="133" t="s">
        <v>278</v>
      </c>
      <c r="I357" s="133" t="str">
        <f t="shared" si="7"/>
        <v/>
      </c>
      <c r="J357" s="133" t="str">
        <f t="shared" si="8"/>
        <v/>
      </c>
      <c r="K357" s="139" t="str">
        <f t="shared" si="43"/>
        <v>nao</v>
      </c>
      <c r="L357" s="136"/>
    </row>
    <row r="358">
      <c r="A358" s="134">
        <v>46379.0</v>
      </c>
      <c r="B358" s="133">
        <f t="shared" si="1"/>
        <v>4</v>
      </c>
      <c r="C358" s="133" t="str">
        <f t="shared" si="2"/>
        <v>quarta-feira</v>
      </c>
      <c r="D358" s="133" t="str">
        <f t="shared" si="3"/>
        <v>sim</v>
      </c>
      <c r="E358" s="133" t="str">
        <f t="shared" si="4"/>
        <v/>
      </c>
      <c r="F358" s="133" t="str">
        <f t="shared" si="5"/>
        <v/>
      </c>
      <c r="G358" s="133" t="str">
        <f t="shared" si="6"/>
        <v/>
      </c>
      <c r="H358" s="133" t="s">
        <v>278</v>
      </c>
      <c r="I358" s="133" t="str">
        <f t="shared" si="7"/>
        <v/>
      </c>
      <c r="J358" s="133" t="str">
        <f t="shared" si="8"/>
        <v/>
      </c>
      <c r="K358" s="139" t="str">
        <f t="shared" si="43"/>
        <v>nao</v>
      </c>
      <c r="L358" s="136"/>
    </row>
    <row r="359">
      <c r="A359" s="134">
        <v>46380.0</v>
      </c>
      <c r="B359" s="133">
        <f t="shared" si="1"/>
        <v>5</v>
      </c>
      <c r="C359" s="133" t="str">
        <f t="shared" si="2"/>
        <v>quinta-feira</v>
      </c>
      <c r="D359" s="133" t="str">
        <f t="shared" si="3"/>
        <v>sim</v>
      </c>
      <c r="E359" s="133" t="str">
        <f t="shared" si="4"/>
        <v/>
      </c>
      <c r="F359" s="133" t="str">
        <f t="shared" si="5"/>
        <v>sim</v>
      </c>
      <c r="G359" s="133" t="str">
        <f t="shared" si="6"/>
        <v>sim</v>
      </c>
      <c r="H359" s="133" t="str">
        <f t="shared" ref="H359:H360" si="44">IF(OR(A359=DATE(2026,6,22),A359=DATE(2026,6,23),A359=DATE(2026,6,24),A359=DATE(2026,6,25),A359=DATE(2026,6,26),A359=DATE(2026,6,27),A359=DATE(2026,6,28),A359=DATE(2026,6,29),A359=DATE(2026,6,30),A359=DATE(2026,7,1),A359=DATE(2026,7,2),A359=DATE(2026,7,3)),"sim","")
</f>
        <v/>
      </c>
      <c r="I359" s="133" t="str">
        <f t="shared" si="7"/>
        <v/>
      </c>
      <c r="J359" s="133" t="str">
        <f t="shared" si="8"/>
        <v/>
      </c>
      <c r="K359" s="139" t="str">
        <f t="shared" si="43"/>
        <v>nao</v>
      </c>
      <c r="L359" s="136"/>
    </row>
    <row r="360">
      <c r="A360" s="134">
        <v>46381.0</v>
      </c>
      <c r="B360" s="133">
        <f t="shared" si="1"/>
        <v>6</v>
      </c>
      <c r="C360" s="133" t="str">
        <f t="shared" si="2"/>
        <v>sexta-feira</v>
      </c>
      <c r="D360" s="133" t="str">
        <f t="shared" si="3"/>
        <v>sim</v>
      </c>
      <c r="E360" s="133" t="str">
        <f t="shared" si="4"/>
        <v/>
      </c>
      <c r="F360" s="133" t="str">
        <f t="shared" si="5"/>
        <v>sim</v>
      </c>
      <c r="G360" s="133" t="str">
        <f t="shared" si="6"/>
        <v/>
      </c>
      <c r="H360" s="133" t="str">
        <f t="shared" si="44"/>
        <v/>
      </c>
      <c r="I360" s="133" t="str">
        <f t="shared" si="7"/>
        <v/>
      </c>
      <c r="J360" s="133" t="str">
        <f t="shared" si="8"/>
        <v/>
      </c>
      <c r="K360" s="139" t="str">
        <f t="shared" si="43"/>
        <v>nao</v>
      </c>
      <c r="L360" s="136"/>
    </row>
    <row r="361">
      <c r="A361" s="134">
        <v>46382.0</v>
      </c>
      <c r="B361" s="133">
        <f t="shared" si="1"/>
        <v>7</v>
      </c>
      <c r="C361" s="133" t="str">
        <f t="shared" si="2"/>
        <v>sábado</v>
      </c>
      <c r="D361" s="133" t="str">
        <f t="shared" si="3"/>
        <v>nao</v>
      </c>
      <c r="E361" s="133" t="str">
        <f t="shared" si="4"/>
        <v/>
      </c>
      <c r="F361" s="133" t="str">
        <f t="shared" si="5"/>
        <v/>
      </c>
      <c r="G361" s="133" t="str">
        <f t="shared" si="6"/>
        <v/>
      </c>
      <c r="H361" s="133" t="s">
        <v>278</v>
      </c>
      <c r="I361" s="133" t="str">
        <f t="shared" si="7"/>
        <v/>
      </c>
      <c r="J361" s="133" t="str">
        <f t="shared" si="8"/>
        <v/>
      </c>
      <c r="K361" s="139" t="str">
        <f t="shared" si="43"/>
        <v>nao</v>
      </c>
      <c r="L361" s="136"/>
    </row>
    <row r="362">
      <c r="A362" s="134">
        <v>46383.0</v>
      </c>
      <c r="B362" s="133">
        <f t="shared" si="1"/>
        <v>1</v>
      </c>
      <c r="C362" s="133" t="str">
        <f t="shared" si="2"/>
        <v>domingo</v>
      </c>
      <c r="D362" s="133" t="str">
        <f t="shared" si="3"/>
        <v>nao</v>
      </c>
      <c r="E362" s="133" t="str">
        <f t="shared" si="4"/>
        <v/>
      </c>
      <c r="F362" s="133" t="str">
        <f t="shared" si="5"/>
        <v/>
      </c>
      <c r="G362" s="133" t="str">
        <f t="shared" si="6"/>
        <v/>
      </c>
      <c r="H362" s="133" t="s">
        <v>278</v>
      </c>
      <c r="I362" s="133" t="str">
        <f t="shared" si="7"/>
        <v/>
      </c>
      <c r="J362" s="133" t="str">
        <f t="shared" si="8"/>
        <v/>
      </c>
      <c r="K362" s="139" t="str">
        <f t="shared" si="43"/>
        <v>nao</v>
      </c>
      <c r="L362" s="136"/>
    </row>
    <row r="363">
      <c r="A363" s="134">
        <v>46384.0</v>
      </c>
      <c r="B363" s="133">
        <f t="shared" si="1"/>
        <v>2</v>
      </c>
      <c r="C363" s="133" t="str">
        <f t="shared" si="2"/>
        <v>segunda-feira</v>
      </c>
      <c r="D363" s="133" t="str">
        <f t="shared" si="3"/>
        <v>sim</v>
      </c>
      <c r="E363" s="133" t="str">
        <f t="shared" si="4"/>
        <v/>
      </c>
      <c r="F363" s="133" t="str">
        <f t="shared" si="5"/>
        <v/>
      </c>
      <c r="G363" s="133" t="str">
        <f t="shared" si="6"/>
        <v/>
      </c>
      <c r="H363" s="133" t="s">
        <v>278</v>
      </c>
      <c r="I363" s="133" t="str">
        <f t="shared" si="7"/>
        <v/>
      </c>
      <c r="J363" s="133" t="str">
        <f t="shared" si="8"/>
        <v/>
      </c>
      <c r="K363" s="139" t="str">
        <f t="shared" si="43"/>
        <v>nao</v>
      </c>
      <c r="L363" s="136"/>
    </row>
    <row r="364">
      <c r="A364" s="134">
        <v>46385.0</v>
      </c>
      <c r="B364" s="133">
        <f t="shared" si="1"/>
        <v>3</v>
      </c>
      <c r="C364" s="133" t="str">
        <f t="shared" si="2"/>
        <v>terça-feira</v>
      </c>
      <c r="D364" s="133" t="str">
        <f t="shared" si="3"/>
        <v>sim</v>
      </c>
      <c r="E364" s="133" t="str">
        <f t="shared" si="4"/>
        <v/>
      </c>
      <c r="F364" s="133" t="str">
        <f t="shared" si="5"/>
        <v/>
      </c>
      <c r="G364" s="133" t="str">
        <f t="shared" si="6"/>
        <v/>
      </c>
      <c r="H364" s="133" t="s">
        <v>278</v>
      </c>
      <c r="I364" s="133" t="str">
        <f t="shared" si="7"/>
        <v/>
      </c>
      <c r="J364" s="133" t="str">
        <f t="shared" si="8"/>
        <v/>
      </c>
      <c r="K364" s="139" t="str">
        <f t="shared" si="43"/>
        <v>nao</v>
      </c>
      <c r="L364" s="136"/>
    </row>
    <row r="365">
      <c r="A365" s="134">
        <v>46386.0</v>
      </c>
      <c r="B365" s="133">
        <f t="shared" si="1"/>
        <v>4</v>
      </c>
      <c r="C365" s="133" t="str">
        <f t="shared" si="2"/>
        <v>quarta-feira</v>
      </c>
      <c r="D365" s="133" t="str">
        <f t="shared" si="3"/>
        <v>sim</v>
      </c>
      <c r="E365" s="133" t="str">
        <f t="shared" si="4"/>
        <v/>
      </c>
      <c r="F365" s="133" t="str">
        <f t="shared" si="5"/>
        <v/>
      </c>
      <c r="G365" s="133" t="str">
        <f t="shared" si="6"/>
        <v/>
      </c>
      <c r="H365" s="133" t="s">
        <v>278</v>
      </c>
      <c r="I365" s="133" t="str">
        <f t="shared" si="7"/>
        <v/>
      </c>
      <c r="J365" s="133" t="str">
        <f t="shared" si="8"/>
        <v/>
      </c>
      <c r="K365" s="139" t="str">
        <f t="shared" si="43"/>
        <v>nao</v>
      </c>
      <c r="L365" s="136"/>
    </row>
    <row r="366">
      <c r="A366" s="134">
        <v>46387.0</v>
      </c>
      <c r="B366" s="133">
        <f t="shared" si="1"/>
        <v>5</v>
      </c>
      <c r="C366" s="133" t="str">
        <f t="shared" si="2"/>
        <v>quinta-feira</v>
      </c>
      <c r="D366" s="133" t="str">
        <f t="shared" si="3"/>
        <v>sim</v>
      </c>
      <c r="E366" s="133" t="str">
        <f t="shared" si="4"/>
        <v/>
      </c>
      <c r="F366" s="133" t="str">
        <f t="shared" si="5"/>
        <v/>
      </c>
      <c r="G366" s="133" t="str">
        <f t="shared" si="6"/>
        <v/>
      </c>
      <c r="H366" s="133" t="s">
        <v>278</v>
      </c>
      <c r="I366" s="133" t="str">
        <f t="shared" si="7"/>
        <v/>
      </c>
      <c r="J366" s="133" t="str">
        <f t="shared" si="8"/>
        <v/>
      </c>
      <c r="K366" s="139" t="str">
        <f t="shared" si="43"/>
        <v>nao</v>
      </c>
      <c r="L366" s="136"/>
    </row>
  </sheetData>
  <autoFilter ref="$A$1:$L$366"/>
  <conditionalFormatting sqref="B2:B366">
    <cfRule type="containsText" dxfId="0" priority="1" operator="containsText" text="1">
      <formula>NOT(ISERROR(SEARCH(("1"),(B2))))</formula>
    </cfRule>
  </conditionalFormatting>
  <conditionalFormatting sqref="B2:B366">
    <cfRule type="containsText" dxfId="0" priority="2" operator="containsText" text="7">
      <formula>NOT(ISERROR(SEARCH(("7"),(B2))))</formula>
    </cfRule>
  </conditionalFormatting>
  <conditionalFormatting sqref="B2:B366">
    <cfRule type="notContainsText" dxfId="1" priority="3" operator="notContains" text="1">
      <formula>ISERROR(SEARCH(("1"),(B2)))</formula>
    </cfRule>
  </conditionalFormatting>
  <conditionalFormatting sqref="B2:B366">
    <cfRule type="notContainsText" dxfId="1" priority="4" operator="notContains" text="7">
      <formula>ISERROR(SEARCH(("7"),(B2)))</formula>
    </cfRule>
  </conditionalFormatting>
  <conditionalFormatting sqref="D2:D366">
    <cfRule type="containsText" dxfId="1" priority="5" operator="containsText" text="SIM">
      <formula>NOT(ISERROR(SEARCH(("SIM"),(D2))))</formula>
    </cfRule>
  </conditionalFormatting>
  <conditionalFormatting sqref="D2:D366">
    <cfRule type="notContainsText" dxfId="0" priority="6" operator="notContains" text="SIM">
      <formula>ISERROR(SEARCH(("SIM"),(D2)))</formula>
    </cfRule>
  </conditionalFormatting>
  <conditionalFormatting sqref="C2:C366">
    <cfRule type="containsText" dxfId="1" priority="7" operator="containsText" text="feira">
      <formula>NOT(ISERROR(SEARCH(("feira"),(C2))))</formula>
    </cfRule>
  </conditionalFormatting>
  <conditionalFormatting sqref="C2:C366">
    <cfRule type="notContainsText" dxfId="0" priority="8" operator="notContains" text="feira">
      <formula>ISERROR(SEARCH(("feira"),(C2)))</formula>
    </cfRule>
  </conditionalFormatting>
  <conditionalFormatting sqref="E2:E366 G2:J366">
    <cfRule type="notContainsBlanks" dxfId="2" priority="9">
      <formula>LEN(TRIM(E2))&gt;0</formula>
    </cfRule>
  </conditionalFormatting>
  <conditionalFormatting sqref="E2:E366 G2:J366">
    <cfRule type="containsBlanks" dxfId="0" priority="10">
      <formula>LEN(TRIM(E2))=0</formula>
    </cfRule>
  </conditionalFormatting>
  <conditionalFormatting sqref="F2:F366">
    <cfRule type="notContainsBlanks" dxfId="1" priority="11">
      <formula>LEN(TRIM(F2))&gt;0</formula>
    </cfRule>
  </conditionalFormatting>
  <conditionalFormatting sqref="F2:F366">
    <cfRule type="containsBlanks" dxfId="0" priority="12">
      <formula>LEN(TRIM(F2))=0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</cols>
  <sheetData>
    <row r="1">
      <c r="A1" s="132" t="s">
        <v>266</v>
      </c>
      <c r="B1" s="133" t="s">
        <v>276</v>
      </c>
    </row>
    <row r="2">
      <c r="A2" s="134">
        <f t="array" ref="A2:A366">SEQUENCE(365,1,DATE(2026,1,1),1)</f>
        <v>46023</v>
      </c>
      <c r="B2" s="133" t="s">
        <v>279</v>
      </c>
    </row>
    <row r="3">
      <c r="A3" s="134">
        <v>46024.0</v>
      </c>
      <c r="B3" s="133" t="s">
        <v>279</v>
      </c>
    </row>
    <row r="4">
      <c r="A4" s="134">
        <v>46025.0</v>
      </c>
      <c r="B4" s="133" t="s">
        <v>279</v>
      </c>
    </row>
    <row r="5">
      <c r="A5" s="134">
        <v>46026.0</v>
      </c>
      <c r="B5" s="133" t="s">
        <v>279</v>
      </c>
    </row>
    <row r="6">
      <c r="A6" s="134">
        <v>46027.0</v>
      </c>
      <c r="B6" s="133" t="s">
        <v>279</v>
      </c>
    </row>
    <row r="7">
      <c r="A7" s="134">
        <v>46028.0</v>
      </c>
      <c r="B7" s="133" t="s">
        <v>279</v>
      </c>
    </row>
    <row r="8">
      <c r="A8" s="134">
        <v>46029.0</v>
      </c>
      <c r="B8" s="133" t="s">
        <v>279</v>
      </c>
    </row>
    <row r="9">
      <c r="A9" s="134">
        <v>46030.0</v>
      </c>
      <c r="B9" s="133" t="s">
        <v>279</v>
      </c>
    </row>
    <row r="10">
      <c r="A10" s="134">
        <v>46031.0</v>
      </c>
      <c r="B10" s="133" t="s">
        <v>279</v>
      </c>
    </row>
    <row r="11">
      <c r="A11" s="134">
        <v>46032.0</v>
      </c>
      <c r="B11" s="133" t="s">
        <v>279</v>
      </c>
    </row>
    <row r="12">
      <c r="A12" s="134">
        <v>46033.0</v>
      </c>
      <c r="B12" s="133" t="s">
        <v>279</v>
      </c>
    </row>
    <row r="13">
      <c r="A13" s="134">
        <v>46034.0</v>
      </c>
      <c r="B13" s="133" t="s">
        <v>279</v>
      </c>
    </row>
    <row r="14">
      <c r="A14" s="134">
        <v>46035.0</v>
      </c>
      <c r="B14" s="133" t="s">
        <v>279</v>
      </c>
    </row>
    <row r="15">
      <c r="A15" s="134">
        <v>46036.0</v>
      </c>
      <c r="B15" s="133" t="s">
        <v>279</v>
      </c>
    </row>
    <row r="16">
      <c r="A16" s="134">
        <v>46037.0</v>
      </c>
      <c r="B16" s="133" t="s">
        <v>279</v>
      </c>
    </row>
    <row r="17">
      <c r="A17" s="134">
        <v>46038.0</v>
      </c>
      <c r="B17" s="133" t="s">
        <v>279</v>
      </c>
    </row>
    <row r="18">
      <c r="A18" s="134">
        <v>46039.0</v>
      </c>
      <c r="B18" s="133" t="s">
        <v>279</v>
      </c>
    </row>
    <row r="19">
      <c r="A19" s="134">
        <v>46040.0</v>
      </c>
      <c r="B19" s="133" t="s">
        <v>279</v>
      </c>
    </row>
    <row r="20">
      <c r="A20" s="134">
        <v>46041.0</v>
      </c>
      <c r="B20" s="133" t="s">
        <v>279</v>
      </c>
    </row>
    <row r="21">
      <c r="A21" s="134">
        <v>46042.0</v>
      </c>
      <c r="B21" s="133" t="s">
        <v>279</v>
      </c>
    </row>
    <row r="22">
      <c r="A22" s="134">
        <v>46043.0</v>
      </c>
      <c r="B22" s="133" t="s">
        <v>279</v>
      </c>
    </row>
    <row r="23">
      <c r="A23" s="134">
        <v>46044.0</v>
      </c>
      <c r="B23" s="133" t="s">
        <v>279</v>
      </c>
    </row>
    <row r="24">
      <c r="A24" s="134">
        <v>46045.0</v>
      </c>
      <c r="B24" s="133" t="s">
        <v>279</v>
      </c>
    </row>
    <row r="25">
      <c r="A25" s="134">
        <v>46046.0</v>
      </c>
      <c r="B25" s="133" t="s">
        <v>279</v>
      </c>
    </row>
    <row r="26">
      <c r="A26" s="134">
        <v>46047.0</v>
      </c>
      <c r="B26" s="133" t="s">
        <v>279</v>
      </c>
    </row>
    <row r="27">
      <c r="A27" s="134">
        <v>46048.0</v>
      </c>
      <c r="B27" s="133" t="s">
        <v>279</v>
      </c>
    </row>
    <row r="28">
      <c r="A28" s="134">
        <v>46049.0</v>
      </c>
      <c r="B28" s="133" t="s">
        <v>279</v>
      </c>
    </row>
    <row r="29">
      <c r="A29" s="134">
        <v>46050.0</v>
      </c>
      <c r="B29" s="133" t="s">
        <v>279</v>
      </c>
    </row>
    <row r="30">
      <c r="A30" s="134">
        <v>46051.0</v>
      </c>
      <c r="B30" s="133" t="s">
        <v>279</v>
      </c>
    </row>
    <row r="31">
      <c r="A31" s="134">
        <v>46052.0</v>
      </c>
      <c r="B31" s="133" t="s">
        <v>279</v>
      </c>
    </row>
    <row r="32">
      <c r="A32" s="134">
        <v>46053.0</v>
      </c>
      <c r="B32" s="133" t="s">
        <v>279</v>
      </c>
    </row>
    <row r="33">
      <c r="A33" s="134">
        <v>46054.0</v>
      </c>
      <c r="B33" s="133" t="s">
        <v>279</v>
      </c>
    </row>
    <row r="34">
      <c r="A34" s="134">
        <v>46055.0</v>
      </c>
      <c r="B34" s="133" t="s">
        <v>279</v>
      </c>
    </row>
    <row r="35">
      <c r="A35" s="134">
        <v>46056.0</v>
      </c>
      <c r="B35" s="133" t="s">
        <v>279</v>
      </c>
    </row>
    <row r="36">
      <c r="A36" s="134">
        <v>46057.0</v>
      </c>
      <c r="B36" s="133" t="s">
        <v>279</v>
      </c>
    </row>
    <row r="37">
      <c r="A37" s="134">
        <v>46058.0</v>
      </c>
      <c r="B37" s="133" t="s">
        <v>279</v>
      </c>
    </row>
    <row r="38">
      <c r="A38" s="134">
        <v>46059.0</v>
      </c>
      <c r="B38" s="133" t="s">
        <v>279</v>
      </c>
    </row>
    <row r="39">
      <c r="A39" s="134">
        <v>46060.0</v>
      </c>
      <c r="B39" s="133" t="s">
        <v>279</v>
      </c>
    </row>
    <row r="40">
      <c r="A40" s="134">
        <v>46061.0</v>
      </c>
      <c r="B40" s="133" t="s">
        <v>279</v>
      </c>
    </row>
    <row r="41">
      <c r="A41" s="134">
        <v>46062.0</v>
      </c>
      <c r="B41" s="133" t="s">
        <v>279</v>
      </c>
    </row>
    <row r="42">
      <c r="A42" s="134">
        <v>46063.0</v>
      </c>
      <c r="B42" s="133" t="s">
        <v>279</v>
      </c>
    </row>
    <row r="43">
      <c r="A43" s="134">
        <v>46064.0</v>
      </c>
      <c r="B43" s="133" t="s">
        <v>279</v>
      </c>
    </row>
    <row r="44">
      <c r="A44" s="134">
        <v>46065.0</v>
      </c>
      <c r="B44" s="133" t="s">
        <v>279</v>
      </c>
    </row>
    <row r="45">
      <c r="A45" s="134">
        <v>46066.0</v>
      </c>
      <c r="B45" s="133" t="s">
        <v>279</v>
      </c>
    </row>
    <row r="46">
      <c r="A46" s="134">
        <v>46067.0</v>
      </c>
      <c r="B46" s="133" t="s">
        <v>279</v>
      </c>
    </row>
    <row r="47">
      <c r="A47" s="134">
        <v>46068.0</v>
      </c>
      <c r="B47" s="133" t="s">
        <v>279</v>
      </c>
    </row>
    <row r="48">
      <c r="A48" s="134">
        <v>46069.0</v>
      </c>
      <c r="B48" s="133" t="s">
        <v>279</v>
      </c>
    </row>
    <row r="49">
      <c r="A49" s="134">
        <v>46070.0</v>
      </c>
      <c r="B49" s="133" t="s">
        <v>279</v>
      </c>
    </row>
    <row r="50">
      <c r="A50" s="134">
        <v>46071.0</v>
      </c>
      <c r="B50" s="133" t="s">
        <v>279</v>
      </c>
    </row>
    <row r="51">
      <c r="A51" s="134">
        <v>46072.0</v>
      </c>
      <c r="B51" s="133" t="s">
        <v>278</v>
      </c>
    </row>
    <row r="52">
      <c r="A52" s="134">
        <v>46073.0</v>
      </c>
      <c r="B52" s="133" t="s">
        <v>278</v>
      </c>
    </row>
    <row r="53">
      <c r="A53" s="134">
        <v>46074.0</v>
      </c>
      <c r="B53" s="133" t="s">
        <v>279</v>
      </c>
    </row>
    <row r="54">
      <c r="A54" s="134">
        <v>46075.0</v>
      </c>
      <c r="B54" s="133" t="s">
        <v>279</v>
      </c>
    </row>
    <row r="55">
      <c r="A55" s="134">
        <v>46076.0</v>
      </c>
      <c r="B55" s="133" t="s">
        <v>278</v>
      </c>
    </row>
    <row r="56">
      <c r="A56" s="134">
        <v>46077.0</v>
      </c>
      <c r="B56" s="133" t="s">
        <v>278</v>
      </c>
    </row>
    <row r="57">
      <c r="A57" s="134">
        <v>46078.0</v>
      </c>
      <c r="B57" s="133" t="s">
        <v>278</v>
      </c>
    </row>
    <row r="58">
      <c r="A58" s="134">
        <v>46079.0</v>
      </c>
      <c r="B58" s="133" t="s">
        <v>278</v>
      </c>
    </row>
    <row r="59">
      <c r="A59" s="134">
        <v>46080.0</v>
      </c>
      <c r="B59" s="133" t="s">
        <v>278</v>
      </c>
    </row>
    <row r="60">
      <c r="A60" s="134">
        <v>46081.0</v>
      </c>
      <c r="B60" s="133" t="s">
        <v>279</v>
      </c>
    </row>
    <row r="61">
      <c r="A61" s="134">
        <v>46082.0</v>
      </c>
      <c r="B61" s="133" t="s">
        <v>279</v>
      </c>
    </row>
    <row r="62">
      <c r="A62" s="134">
        <v>46083.0</v>
      </c>
      <c r="B62" s="133" t="s">
        <v>278</v>
      </c>
    </row>
    <row r="63">
      <c r="A63" s="134">
        <v>46084.0</v>
      </c>
      <c r="B63" s="133" t="s">
        <v>278</v>
      </c>
    </row>
    <row r="64">
      <c r="A64" s="134">
        <v>46085.0</v>
      </c>
      <c r="B64" s="133" t="s">
        <v>278</v>
      </c>
    </row>
    <row r="65">
      <c r="A65" s="134">
        <v>46086.0</v>
      </c>
      <c r="B65" s="133" t="s">
        <v>278</v>
      </c>
    </row>
    <row r="66">
      <c r="A66" s="134">
        <v>46087.0</v>
      </c>
      <c r="B66" s="133" t="s">
        <v>278</v>
      </c>
    </row>
    <row r="67">
      <c r="A67" s="134">
        <v>46088.0</v>
      </c>
      <c r="B67" s="133" t="s">
        <v>279</v>
      </c>
    </row>
    <row r="68">
      <c r="A68" s="134">
        <v>46089.0</v>
      </c>
      <c r="B68" s="133" t="s">
        <v>279</v>
      </c>
    </row>
    <row r="69">
      <c r="A69" s="134">
        <v>46090.0</v>
      </c>
      <c r="B69" s="133" t="s">
        <v>278</v>
      </c>
    </row>
    <row r="70">
      <c r="A70" s="134">
        <v>46091.0</v>
      </c>
      <c r="B70" s="133" t="s">
        <v>278</v>
      </c>
    </row>
    <row r="71">
      <c r="A71" s="134">
        <v>46092.0</v>
      </c>
      <c r="B71" s="133" t="s">
        <v>278</v>
      </c>
    </row>
    <row r="72">
      <c r="A72" s="134">
        <v>46093.0</v>
      </c>
      <c r="B72" s="133" t="s">
        <v>278</v>
      </c>
    </row>
    <row r="73">
      <c r="A73" s="134">
        <v>46094.0</v>
      </c>
      <c r="B73" s="133" t="s">
        <v>278</v>
      </c>
    </row>
    <row r="74">
      <c r="A74" s="134">
        <v>46095.0</v>
      </c>
      <c r="B74" s="133" t="s">
        <v>279</v>
      </c>
    </row>
    <row r="75">
      <c r="A75" s="134">
        <v>46096.0</v>
      </c>
      <c r="B75" s="133" t="s">
        <v>279</v>
      </c>
    </row>
    <row r="76">
      <c r="A76" s="134">
        <v>46097.0</v>
      </c>
      <c r="B76" s="133" t="s">
        <v>278</v>
      </c>
    </row>
    <row r="77">
      <c r="A77" s="134">
        <v>46098.0</v>
      </c>
      <c r="B77" s="133" t="s">
        <v>278</v>
      </c>
    </row>
    <row r="78">
      <c r="A78" s="134">
        <v>46099.0</v>
      </c>
      <c r="B78" s="133" t="s">
        <v>278</v>
      </c>
    </row>
    <row r="79">
      <c r="A79" s="134">
        <v>46100.0</v>
      </c>
      <c r="B79" s="133" t="s">
        <v>278</v>
      </c>
    </row>
    <row r="80">
      <c r="A80" s="134">
        <v>46101.0</v>
      </c>
      <c r="B80" s="133" t="s">
        <v>278</v>
      </c>
    </row>
    <row r="81">
      <c r="A81" s="134">
        <v>46102.0</v>
      </c>
      <c r="B81" s="133" t="s">
        <v>279</v>
      </c>
    </row>
    <row r="82">
      <c r="A82" s="134">
        <v>46103.0</v>
      </c>
      <c r="B82" s="133" t="s">
        <v>279</v>
      </c>
    </row>
    <row r="83">
      <c r="A83" s="134">
        <v>46104.0</v>
      </c>
      <c r="B83" s="133" t="s">
        <v>278</v>
      </c>
    </row>
    <row r="84">
      <c r="A84" s="134">
        <v>46105.0</v>
      </c>
      <c r="B84" s="133" t="s">
        <v>278</v>
      </c>
    </row>
    <row r="85">
      <c r="A85" s="134">
        <v>46106.0</v>
      </c>
      <c r="B85" s="133" t="s">
        <v>278</v>
      </c>
    </row>
    <row r="86">
      <c r="A86" s="134">
        <v>46107.0</v>
      </c>
      <c r="B86" s="133" t="s">
        <v>278</v>
      </c>
    </row>
    <row r="87">
      <c r="A87" s="134">
        <v>46108.0</v>
      </c>
      <c r="B87" s="133" t="s">
        <v>278</v>
      </c>
    </row>
    <row r="88">
      <c r="A88" s="134">
        <v>46109.0</v>
      </c>
      <c r="B88" s="133" t="s">
        <v>278</v>
      </c>
    </row>
    <row r="89">
      <c r="A89" s="134">
        <v>46110.0</v>
      </c>
      <c r="B89" s="133" t="s">
        <v>279</v>
      </c>
    </row>
    <row r="90">
      <c r="A90" s="134">
        <v>46111.0</v>
      </c>
      <c r="B90" s="133" t="s">
        <v>278</v>
      </c>
    </row>
    <row r="91">
      <c r="A91" s="134">
        <v>46112.0</v>
      </c>
      <c r="B91" s="133" t="s">
        <v>278</v>
      </c>
    </row>
    <row r="92">
      <c r="A92" s="134">
        <v>46113.0</v>
      </c>
      <c r="B92" s="133" t="s">
        <v>278</v>
      </c>
    </row>
    <row r="93">
      <c r="A93" s="134">
        <v>46114.0</v>
      </c>
      <c r="B93" s="133" t="s">
        <v>279</v>
      </c>
    </row>
    <row r="94">
      <c r="A94" s="134">
        <v>46115.0</v>
      </c>
      <c r="B94" s="133" t="s">
        <v>279</v>
      </c>
    </row>
    <row r="95">
      <c r="A95" s="134">
        <v>46116.0</v>
      </c>
      <c r="B95" s="133" t="s">
        <v>279</v>
      </c>
    </row>
    <row r="96">
      <c r="A96" s="134">
        <v>46117.0</v>
      </c>
      <c r="B96" s="133" t="s">
        <v>279</v>
      </c>
    </row>
    <row r="97">
      <c r="A97" s="134">
        <v>46118.0</v>
      </c>
      <c r="B97" s="133" t="s">
        <v>278</v>
      </c>
    </row>
    <row r="98">
      <c r="A98" s="134">
        <v>46119.0</v>
      </c>
      <c r="B98" s="133" t="s">
        <v>278</v>
      </c>
    </row>
    <row r="99">
      <c r="A99" s="134">
        <v>46120.0</v>
      </c>
      <c r="B99" s="133" t="s">
        <v>278</v>
      </c>
    </row>
    <row r="100">
      <c r="A100" s="134">
        <v>46121.0</v>
      </c>
      <c r="B100" s="133" t="s">
        <v>278</v>
      </c>
    </row>
    <row r="101">
      <c r="A101" s="134">
        <v>46122.0</v>
      </c>
      <c r="B101" s="133" t="s">
        <v>278</v>
      </c>
    </row>
    <row r="102">
      <c r="A102" s="134">
        <v>46123.0</v>
      </c>
      <c r="B102" s="133" t="s">
        <v>279</v>
      </c>
    </row>
    <row r="103">
      <c r="A103" s="134">
        <v>46124.0</v>
      </c>
      <c r="B103" s="133" t="s">
        <v>279</v>
      </c>
    </row>
    <row r="104">
      <c r="A104" s="134">
        <v>46125.0</v>
      </c>
      <c r="B104" s="140" t="s">
        <v>278</v>
      </c>
    </row>
    <row r="105">
      <c r="A105" s="134">
        <v>46126.0</v>
      </c>
      <c r="B105" s="140" t="s">
        <v>278</v>
      </c>
    </row>
    <row r="106">
      <c r="A106" s="134">
        <v>46127.0</v>
      </c>
      <c r="B106" s="140" t="s">
        <v>278</v>
      </c>
    </row>
    <row r="107">
      <c r="A107" s="134">
        <v>46128.0</v>
      </c>
      <c r="B107" s="140" t="s">
        <v>278</v>
      </c>
    </row>
    <row r="108">
      <c r="A108" s="134">
        <v>46129.0</v>
      </c>
      <c r="B108" s="140" t="s">
        <v>278</v>
      </c>
    </row>
    <row r="109">
      <c r="A109" s="134">
        <v>46130.0</v>
      </c>
      <c r="B109" s="140" t="s">
        <v>279</v>
      </c>
    </row>
    <row r="110">
      <c r="A110" s="134">
        <v>46131.0</v>
      </c>
      <c r="B110" s="140" t="s">
        <v>279</v>
      </c>
    </row>
    <row r="111">
      <c r="A111" s="134">
        <v>46132.0</v>
      </c>
      <c r="B111" s="140" t="s">
        <v>279</v>
      </c>
    </row>
    <row r="112">
      <c r="A112" s="134">
        <v>46133.0</v>
      </c>
      <c r="B112" s="140" t="s">
        <v>279</v>
      </c>
    </row>
    <row r="113">
      <c r="A113" s="134">
        <v>46134.0</v>
      </c>
      <c r="B113" s="140" t="s">
        <v>278</v>
      </c>
    </row>
    <row r="114">
      <c r="A114" s="134">
        <v>46135.0</v>
      </c>
      <c r="B114" s="140" t="s">
        <v>278</v>
      </c>
    </row>
    <row r="115">
      <c r="A115" s="134">
        <v>46136.0</v>
      </c>
      <c r="B115" s="140" t="s">
        <v>278</v>
      </c>
    </row>
    <row r="116">
      <c r="A116" s="134">
        <v>46137.0</v>
      </c>
      <c r="B116" s="140" t="s">
        <v>278</v>
      </c>
    </row>
    <row r="117">
      <c r="A117" s="134">
        <v>46138.0</v>
      </c>
      <c r="B117" s="140" t="s">
        <v>279</v>
      </c>
    </row>
    <row r="118">
      <c r="A118" s="134">
        <v>46139.0</v>
      </c>
      <c r="B118" s="140" t="s">
        <v>278</v>
      </c>
    </row>
    <row r="119">
      <c r="A119" s="134">
        <v>46140.0</v>
      </c>
      <c r="B119" s="140" t="s">
        <v>278</v>
      </c>
    </row>
    <row r="120">
      <c r="A120" s="134">
        <v>46141.0</v>
      </c>
      <c r="B120" s="140" t="s">
        <v>278</v>
      </c>
    </row>
    <row r="121">
      <c r="A121" s="134">
        <v>46142.0</v>
      </c>
      <c r="B121" s="140" t="s">
        <v>278</v>
      </c>
    </row>
    <row r="122">
      <c r="A122" s="134">
        <v>46143.0</v>
      </c>
      <c r="B122" s="140" t="s">
        <v>279</v>
      </c>
    </row>
    <row r="123">
      <c r="A123" s="134">
        <v>46144.0</v>
      </c>
      <c r="B123" s="140" t="s">
        <v>279</v>
      </c>
    </row>
    <row r="124">
      <c r="A124" s="134">
        <v>46145.0</v>
      </c>
      <c r="B124" s="140" t="s">
        <v>279</v>
      </c>
    </row>
    <row r="125">
      <c r="A125" s="134">
        <v>46146.0</v>
      </c>
      <c r="B125" s="140" t="s">
        <v>278</v>
      </c>
    </row>
    <row r="126">
      <c r="A126" s="134">
        <v>46147.0</v>
      </c>
      <c r="B126" s="140" t="s">
        <v>278</v>
      </c>
    </row>
    <row r="127">
      <c r="A127" s="134">
        <v>46148.0</v>
      </c>
      <c r="B127" s="140" t="s">
        <v>278</v>
      </c>
    </row>
    <row r="128">
      <c r="A128" s="134">
        <v>46149.0</v>
      </c>
      <c r="B128" s="140" t="s">
        <v>278</v>
      </c>
    </row>
    <row r="129">
      <c r="A129" s="134">
        <v>46150.0</v>
      </c>
      <c r="B129" s="140" t="s">
        <v>278</v>
      </c>
    </row>
    <row r="130">
      <c r="A130" s="134">
        <v>46151.0</v>
      </c>
      <c r="B130" s="140" t="s">
        <v>279</v>
      </c>
    </row>
    <row r="131">
      <c r="A131" s="134">
        <v>46152.0</v>
      </c>
      <c r="B131" s="140" t="s">
        <v>279</v>
      </c>
    </row>
    <row r="132">
      <c r="A132" s="134">
        <v>46153.0</v>
      </c>
      <c r="B132" s="140" t="s">
        <v>278</v>
      </c>
    </row>
    <row r="133">
      <c r="A133" s="134">
        <v>46154.0</v>
      </c>
      <c r="B133" s="140" t="s">
        <v>278</v>
      </c>
    </row>
    <row r="134">
      <c r="A134" s="134">
        <v>46155.0</v>
      </c>
      <c r="B134" s="140" t="s">
        <v>278</v>
      </c>
    </row>
    <row r="135">
      <c r="A135" s="134">
        <v>46156.0</v>
      </c>
      <c r="B135" s="140" t="s">
        <v>279</v>
      </c>
    </row>
    <row r="136">
      <c r="A136" s="134">
        <v>46157.0</v>
      </c>
      <c r="B136" s="140" t="s">
        <v>278</v>
      </c>
    </row>
    <row r="137">
      <c r="A137" s="134">
        <v>46158.0</v>
      </c>
      <c r="B137" s="140" t="s">
        <v>278</v>
      </c>
    </row>
    <row r="138">
      <c r="A138" s="134">
        <v>46159.0</v>
      </c>
      <c r="B138" s="140" t="s">
        <v>279</v>
      </c>
    </row>
    <row r="139">
      <c r="A139" s="134">
        <v>46160.0</v>
      </c>
      <c r="B139" s="140" t="s">
        <v>278</v>
      </c>
    </row>
    <row r="140">
      <c r="A140" s="134">
        <v>46161.0</v>
      </c>
      <c r="B140" s="140" t="s">
        <v>278</v>
      </c>
    </row>
    <row r="141">
      <c r="A141" s="134">
        <v>46162.0</v>
      </c>
      <c r="B141" s="140" t="s">
        <v>278</v>
      </c>
    </row>
    <row r="142">
      <c r="A142" s="134">
        <v>46163.0</v>
      </c>
      <c r="B142" s="140" t="s">
        <v>278</v>
      </c>
    </row>
    <row r="143">
      <c r="A143" s="134">
        <v>46164.0</v>
      </c>
      <c r="B143" s="140" t="s">
        <v>278</v>
      </c>
    </row>
    <row r="144">
      <c r="A144" s="134">
        <v>46165.0</v>
      </c>
      <c r="B144" s="140" t="s">
        <v>279</v>
      </c>
    </row>
    <row r="145">
      <c r="A145" s="134">
        <v>46166.0</v>
      </c>
      <c r="B145" s="140" t="s">
        <v>279</v>
      </c>
    </row>
    <row r="146">
      <c r="A146" s="134">
        <v>46167.0</v>
      </c>
      <c r="B146" s="140" t="s">
        <v>278</v>
      </c>
    </row>
    <row r="147">
      <c r="A147" s="134">
        <v>46168.0</v>
      </c>
      <c r="B147" s="140" t="s">
        <v>278</v>
      </c>
    </row>
    <row r="148">
      <c r="A148" s="134">
        <v>46169.0</v>
      </c>
      <c r="B148" s="140" t="s">
        <v>278</v>
      </c>
    </row>
    <row r="149">
      <c r="A149" s="134">
        <v>46170.0</v>
      </c>
      <c r="B149" s="140" t="s">
        <v>278</v>
      </c>
    </row>
    <row r="150">
      <c r="A150" s="134">
        <v>46171.0</v>
      </c>
      <c r="B150" s="140" t="s">
        <v>278</v>
      </c>
    </row>
    <row r="151">
      <c r="A151" s="134">
        <v>46172.0</v>
      </c>
      <c r="B151" s="140" t="s">
        <v>279</v>
      </c>
    </row>
    <row r="152">
      <c r="A152" s="134">
        <v>46173.0</v>
      </c>
      <c r="B152" s="140" t="s">
        <v>279</v>
      </c>
    </row>
    <row r="153">
      <c r="A153" s="134">
        <v>46174.0</v>
      </c>
      <c r="B153" s="140" t="s">
        <v>278</v>
      </c>
    </row>
    <row r="154">
      <c r="A154" s="134">
        <v>46175.0</v>
      </c>
      <c r="B154" s="140" t="s">
        <v>278</v>
      </c>
    </row>
    <row r="155">
      <c r="A155" s="134">
        <v>46176.0</v>
      </c>
      <c r="B155" s="140" t="s">
        <v>278</v>
      </c>
    </row>
    <row r="156">
      <c r="A156" s="134">
        <v>46177.0</v>
      </c>
      <c r="B156" s="140" t="s">
        <v>279</v>
      </c>
    </row>
    <row r="157">
      <c r="A157" s="134">
        <v>46178.0</v>
      </c>
      <c r="B157" s="140" t="s">
        <v>278</v>
      </c>
    </row>
    <row r="158">
      <c r="A158" s="134">
        <v>46179.0</v>
      </c>
      <c r="B158" s="140" t="s">
        <v>278</v>
      </c>
    </row>
    <row r="159">
      <c r="A159" s="134">
        <v>46180.0</v>
      </c>
      <c r="B159" s="140" t="s">
        <v>279</v>
      </c>
    </row>
    <row r="160">
      <c r="A160" s="134">
        <v>46181.0</v>
      </c>
      <c r="B160" s="140" t="s">
        <v>278</v>
      </c>
    </row>
    <row r="161">
      <c r="A161" s="134">
        <v>46182.0</v>
      </c>
      <c r="B161" s="140" t="s">
        <v>278</v>
      </c>
    </row>
    <row r="162">
      <c r="A162" s="134">
        <v>46183.0</v>
      </c>
      <c r="B162" s="140" t="s">
        <v>278</v>
      </c>
    </row>
    <row r="163">
      <c r="A163" s="134">
        <v>46184.0</v>
      </c>
      <c r="B163" s="140" t="s">
        <v>278</v>
      </c>
    </row>
    <row r="164">
      <c r="A164" s="134">
        <v>46185.0</v>
      </c>
      <c r="B164" s="140" t="s">
        <v>278</v>
      </c>
    </row>
    <row r="165">
      <c r="A165" s="134">
        <v>46186.0</v>
      </c>
      <c r="B165" s="140" t="s">
        <v>279</v>
      </c>
    </row>
    <row r="166">
      <c r="A166" s="134">
        <v>46187.0</v>
      </c>
      <c r="B166" s="140" t="s">
        <v>279</v>
      </c>
    </row>
    <row r="167">
      <c r="A167" s="134">
        <v>46188.0</v>
      </c>
      <c r="B167" s="140" t="s">
        <v>278</v>
      </c>
    </row>
    <row r="168">
      <c r="A168" s="134">
        <v>46189.0</v>
      </c>
      <c r="B168" s="140" t="s">
        <v>278</v>
      </c>
    </row>
    <row r="169">
      <c r="A169" s="134">
        <v>46190.0</v>
      </c>
      <c r="B169" s="140" t="s">
        <v>278</v>
      </c>
    </row>
    <row r="170">
      <c r="A170" s="134">
        <v>46191.0</v>
      </c>
      <c r="B170" s="140" t="s">
        <v>278</v>
      </c>
    </row>
    <row r="171">
      <c r="A171" s="134">
        <v>46192.0</v>
      </c>
      <c r="B171" s="140" t="s">
        <v>278</v>
      </c>
    </row>
    <row r="172">
      <c r="A172" s="134">
        <v>46193.0</v>
      </c>
      <c r="B172" s="140" t="s">
        <v>279</v>
      </c>
    </row>
    <row r="173">
      <c r="A173" s="134">
        <v>46194.0</v>
      </c>
      <c r="B173" s="140" t="s">
        <v>279</v>
      </c>
    </row>
    <row r="174">
      <c r="A174" s="134">
        <v>46195.0</v>
      </c>
      <c r="B174" s="140" t="s">
        <v>279</v>
      </c>
    </row>
    <row r="175">
      <c r="A175" s="134">
        <v>46196.0</v>
      </c>
      <c r="B175" s="140" t="s">
        <v>279</v>
      </c>
    </row>
    <row r="176">
      <c r="A176" s="134">
        <v>46197.0</v>
      </c>
      <c r="B176" s="140" t="s">
        <v>279</v>
      </c>
    </row>
    <row r="177">
      <c r="A177" s="134">
        <v>46198.0</v>
      </c>
      <c r="B177" s="140" t="s">
        <v>279</v>
      </c>
    </row>
    <row r="178">
      <c r="A178" s="134">
        <v>46199.0</v>
      </c>
      <c r="B178" s="140" t="s">
        <v>279</v>
      </c>
    </row>
    <row r="179">
      <c r="A179" s="134">
        <v>46200.0</v>
      </c>
      <c r="B179" s="140" t="s">
        <v>279</v>
      </c>
    </row>
    <row r="180">
      <c r="A180" s="134">
        <v>46201.0</v>
      </c>
      <c r="B180" s="140" t="s">
        <v>279</v>
      </c>
    </row>
    <row r="181">
      <c r="A181" s="134">
        <v>46202.0</v>
      </c>
      <c r="B181" s="140" t="s">
        <v>279</v>
      </c>
    </row>
    <row r="182">
      <c r="A182" s="134">
        <v>46203.0</v>
      </c>
      <c r="B182" s="140" t="s">
        <v>279</v>
      </c>
    </row>
    <row r="183">
      <c r="A183" s="134">
        <v>46204.0</v>
      </c>
      <c r="B183" s="140" t="s">
        <v>279</v>
      </c>
    </row>
    <row r="184">
      <c r="A184" s="134">
        <v>46205.0</v>
      </c>
      <c r="B184" s="140" t="s">
        <v>279</v>
      </c>
    </row>
    <row r="185">
      <c r="A185" s="134">
        <v>46206.0</v>
      </c>
      <c r="B185" s="140" t="s">
        <v>279</v>
      </c>
    </row>
    <row r="186">
      <c r="A186" s="134">
        <v>46207.0</v>
      </c>
      <c r="B186" s="140" t="s">
        <v>279</v>
      </c>
    </row>
    <row r="187">
      <c r="A187" s="134">
        <v>46208.0</v>
      </c>
      <c r="B187" s="140" t="s">
        <v>279</v>
      </c>
    </row>
    <row r="188">
      <c r="A188" s="134">
        <v>46209.0</v>
      </c>
      <c r="B188" s="140" t="s">
        <v>278</v>
      </c>
    </row>
    <row r="189">
      <c r="A189" s="134">
        <v>46210.0</v>
      </c>
      <c r="B189" s="140" t="s">
        <v>278</v>
      </c>
    </row>
    <row r="190">
      <c r="A190" s="134">
        <v>46211.0</v>
      </c>
      <c r="B190" s="140" t="s">
        <v>278</v>
      </c>
    </row>
    <row r="191">
      <c r="A191" s="134">
        <v>46212.0</v>
      </c>
      <c r="B191" s="140" t="s">
        <v>278</v>
      </c>
    </row>
    <row r="192">
      <c r="A192" s="134">
        <v>46213.0</v>
      </c>
      <c r="B192" s="140" t="s">
        <v>278</v>
      </c>
    </row>
    <row r="193">
      <c r="A193" s="134">
        <v>46214.0</v>
      </c>
      <c r="B193" s="140" t="s">
        <v>279</v>
      </c>
    </row>
    <row r="194">
      <c r="A194" s="134">
        <v>46215.0</v>
      </c>
      <c r="B194" s="140" t="s">
        <v>279</v>
      </c>
    </row>
    <row r="195">
      <c r="A195" s="134">
        <v>46216.0</v>
      </c>
      <c r="B195" s="140" t="s">
        <v>278</v>
      </c>
    </row>
    <row r="196">
      <c r="A196" s="134">
        <v>46217.0</v>
      </c>
      <c r="B196" s="140" t="s">
        <v>278</v>
      </c>
    </row>
    <row r="197">
      <c r="A197" s="134">
        <v>46218.0</v>
      </c>
      <c r="B197" s="140" t="s">
        <v>278</v>
      </c>
    </row>
    <row r="198">
      <c r="A198" s="134">
        <v>46219.0</v>
      </c>
      <c r="B198" s="140" t="s">
        <v>278</v>
      </c>
    </row>
    <row r="199">
      <c r="A199" s="134">
        <v>46220.0</v>
      </c>
      <c r="B199" s="140" t="s">
        <v>278</v>
      </c>
    </row>
    <row r="200">
      <c r="A200" s="134">
        <v>46221.0</v>
      </c>
      <c r="B200" s="140" t="s">
        <v>279</v>
      </c>
    </row>
    <row r="201">
      <c r="A201" s="134">
        <v>46222.0</v>
      </c>
      <c r="B201" s="140" t="s">
        <v>279</v>
      </c>
    </row>
    <row r="202">
      <c r="A202" s="134">
        <v>46223.0</v>
      </c>
      <c r="B202" s="140" t="s">
        <v>278</v>
      </c>
    </row>
    <row r="203">
      <c r="A203" s="134">
        <v>46224.0</v>
      </c>
      <c r="B203" s="140" t="s">
        <v>278</v>
      </c>
    </row>
    <row r="204">
      <c r="A204" s="134">
        <v>46225.0</v>
      </c>
      <c r="B204" s="140" t="s">
        <v>278</v>
      </c>
    </row>
    <row r="205">
      <c r="A205" s="134">
        <v>46226.0</v>
      </c>
      <c r="B205" s="140" t="s">
        <v>278</v>
      </c>
    </row>
    <row r="206">
      <c r="A206" s="134">
        <v>46227.0</v>
      </c>
      <c r="B206" s="140" t="s">
        <v>278</v>
      </c>
    </row>
    <row r="207">
      <c r="A207" s="134">
        <v>46228.0</v>
      </c>
      <c r="B207" s="140" t="s">
        <v>278</v>
      </c>
    </row>
    <row r="208">
      <c r="A208" s="134">
        <v>46229.0</v>
      </c>
      <c r="B208" s="140" t="s">
        <v>279</v>
      </c>
    </row>
    <row r="209">
      <c r="A209" s="134">
        <v>46230.0</v>
      </c>
      <c r="B209" s="140" t="s">
        <v>278</v>
      </c>
    </row>
    <row r="210">
      <c r="A210" s="134">
        <v>46231.0</v>
      </c>
      <c r="B210" s="140" t="s">
        <v>278</v>
      </c>
    </row>
    <row r="211">
      <c r="A211" s="134">
        <v>46232.0</v>
      </c>
      <c r="B211" s="140" t="s">
        <v>278</v>
      </c>
    </row>
    <row r="212">
      <c r="A212" s="134">
        <v>46233.0</v>
      </c>
      <c r="B212" s="140" t="s">
        <v>278</v>
      </c>
    </row>
    <row r="213">
      <c r="A213" s="134">
        <v>46234.0</v>
      </c>
      <c r="B213" s="140" t="s">
        <v>278</v>
      </c>
    </row>
    <row r="214">
      <c r="A214" s="134">
        <v>46235.0</v>
      </c>
      <c r="B214" s="140" t="s">
        <v>279</v>
      </c>
    </row>
    <row r="215">
      <c r="A215" s="134">
        <v>46236.0</v>
      </c>
      <c r="B215" s="140" t="s">
        <v>279</v>
      </c>
    </row>
    <row r="216">
      <c r="A216" s="134">
        <v>46237.0</v>
      </c>
      <c r="B216" s="140" t="s">
        <v>278</v>
      </c>
    </row>
    <row r="217">
      <c r="A217" s="134">
        <v>46238.0</v>
      </c>
      <c r="B217" s="140" t="s">
        <v>278</v>
      </c>
    </row>
    <row r="218">
      <c r="A218" s="134">
        <v>46239.0</v>
      </c>
      <c r="B218" s="140" t="s">
        <v>278</v>
      </c>
    </row>
    <row r="219">
      <c r="A219" s="134">
        <v>46240.0</v>
      </c>
      <c r="B219" s="140" t="s">
        <v>278</v>
      </c>
    </row>
    <row r="220">
      <c r="A220" s="134">
        <v>46241.0</v>
      </c>
      <c r="B220" s="140" t="s">
        <v>278</v>
      </c>
    </row>
    <row r="221">
      <c r="A221" s="134">
        <v>46242.0</v>
      </c>
      <c r="B221" s="140" t="s">
        <v>279</v>
      </c>
    </row>
    <row r="222">
      <c r="A222" s="134">
        <v>46243.0</v>
      </c>
      <c r="B222" s="140" t="s">
        <v>279</v>
      </c>
    </row>
    <row r="223">
      <c r="A223" s="134">
        <v>46244.0</v>
      </c>
      <c r="B223" s="140" t="s">
        <v>278</v>
      </c>
    </row>
    <row r="224">
      <c r="A224" s="134">
        <v>46245.0</v>
      </c>
      <c r="B224" s="140" t="s">
        <v>278</v>
      </c>
    </row>
    <row r="225">
      <c r="A225" s="134">
        <v>46246.0</v>
      </c>
      <c r="B225" s="140" t="s">
        <v>278</v>
      </c>
    </row>
    <row r="226">
      <c r="A226" s="134">
        <v>46247.0</v>
      </c>
      <c r="B226" s="140" t="s">
        <v>278</v>
      </c>
    </row>
    <row r="227">
      <c r="A227" s="134">
        <v>46248.0</v>
      </c>
      <c r="B227" s="140" t="s">
        <v>278</v>
      </c>
    </row>
    <row r="228">
      <c r="A228" s="134">
        <v>46249.0</v>
      </c>
      <c r="B228" s="140" t="s">
        <v>279</v>
      </c>
    </row>
    <row r="229">
      <c r="A229" s="134">
        <v>46250.0</v>
      </c>
      <c r="B229" s="140" t="s">
        <v>279</v>
      </c>
    </row>
    <row r="230">
      <c r="A230" s="134">
        <v>46251.0</v>
      </c>
      <c r="B230" s="140" t="s">
        <v>278</v>
      </c>
    </row>
    <row r="231">
      <c r="A231" s="134">
        <v>46252.0</v>
      </c>
      <c r="B231" s="140" t="s">
        <v>278</v>
      </c>
    </row>
    <row r="232">
      <c r="A232" s="134">
        <v>46253.0</v>
      </c>
      <c r="B232" s="140" t="s">
        <v>278</v>
      </c>
    </row>
    <row r="233">
      <c r="A233" s="134">
        <v>46254.0</v>
      </c>
      <c r="B233" s="140" t="s">
        <v>278</v>
      </c>
    </row>
    <row r="234">
      <c r="A234" s="134">
        <v>46255.0</v>
      </c>
      <c r="B234" s="140" t="s">
        <v>278</v>
      </c>
    </row>
    <row r="235">
      <c r="A235" s="134">
        <v>46256.0</v>
      </c>
      <c r="B235" s="140" t="s">
        <v>279</v>
      </c>
    </row>
    <row r="236">
      <c r="A236" s="134">
        <v>46257.0</v>
      </c>
      <c r="B236" s="140" t="s">
        <v>279</v>
      </c>
    </row>
    <row r="237">
      <c r="A237" s="134">
        <v>46258.0</v>
      </c>
      <c r="B237" s="140" t="s">
        <v>278</v>
      </c>
    </row>
    <row r="238">
      <c r="A238" s="134">
        <v>46259.0</v>
      </c>
      <c r="B238" s="140" t="s">
        <v>278</v>
      </c>
    </row>
    <row r="239">
      <c r="A239" s="134">
        <v>46260.0</v>
      </c>
      <c r="B239" s="140" t="s">
        <v>278</v>
      </c>
    </row>
    <row r="240">
      <c r="A240" s="134">
        <v>46261.0</v>
      </c>
      <c r="B240" s="140" t="s">
        <v>278</v>
      </c>
    </row>
    <row r="241">
      <c r="A241" s="134">
        <v>46262.0</v>
      </c>
      <c r="B241" s="140" t="s">
        <v>278</v>
      </c>
    </row>
    <row r="242">
      <c r="A242" s="134">
        <v>46263.0</v>
      </c>
      <c r="B242" s="140" t="s">
        <v>278</v>
      </c>
    </row>
    <row r="243">
      <c r="A243" s="134">
        <v>46264.0</v>
      </c>
      <c r="B243" s="140" t="s">
        <v>279</v>
      </c>
    </row>
    <row r="244">
      <c r="A244" s="134">
        <v>46265.0</v>
      </c>
      <c r="B244" s="140" t="s">
        <v>278</v>
      </c>
    </row>
    <row r="245">
      <c r="A245" s="134">
        <v>46266.0</v>
      </c>
      <c r="B245" s="140" t="s">
        <v>278</v>
      </c>
    </row>
    <row r="246">
      <c r="A246" s="134">
        <v>46267.0</v>
      </c>
      <c r="B246" s="140" t="s">
        <v>278</v>
      </c>
    </row>
    <row r="247">
      <c r="A247" s="134">
        <v>46268.0</v>
      </c>
      <c r="B247" s="140" t="s">
        <v>278</v>
      </c>
    </row>
    <row r="248">
      <c r="A248" s="134">
        <v>46269.0</v>
      </c>
      <c r="B248" s="140" t="s">
        <v>278</v>
      </c>
    </row>
    <row r="249">
      <c r="A249" s="134">
        <v>46270.0</v>
      </c>
      <c r="B249" s="140" t="s">
        <v>279</v>
      </c>
    </row>
    <row r="250">
      <c r="A250" s="134">
        <v>46271.0</v>
      </c>
      <c r="B250" s="140" t="s">
        <v>279</v>
      </c>
    </row>
    <row r="251">
      <c r="A251" s="134">
        <v>46272.0</v>
      </c>
      <c r="B251" s="140" t="s">
        <v>279</v>
      </c>
    </row>
    <row r="252">
      <c r="A252" s="134">
        <v>46273.0</v>
      </c>
      <c r="B252" s="140" t="s">
        <v>278</v>
      </c>
    </row>
    <row r="253">
      <c r="A253" s="134">
        <v>46274.0</v>
      </c>
      <c r="B253" s="140" t="s">
        <v>278</v>
      </c>
    </row>
    <row r="254">
      <c r="A254" s="134">
        <v>46275.0</v>
      </c>
      <c r="B254" s="140" t="s">
        <v>278</v>
      </c>
    </row>
    <row r="255">
      <c r="A255" s="134">
        <v>46276.0</v>
      </c>
      <c r="B255" s="140" t="s">
        <v>278</v>
      </c>
    </row>
    <row r="256">
      <c r="A256" s="134">
        <v>46277.0</v>
      </c>
      <c r="B256" s="140" t="s">
        <v>279</v>
      </c>
    </row>
    <row r="257">
      <c r="A257" s="134">
        <v>46278.0</v>
      </c>
      <c r="B257" s="140" t="s">
        <v>279</v>
      </c>
    </row>
    <row r="258">
      <c r="A258" s="134">
        <v>46279.0</v>
      </c>
      <c r="B258" s="140" t="s">
        <v>278</v>
      </c>
    </row>
    <row r="259">
      <c r="A259" s="134">
        <v>46280.0</v>
      </c>
      <c r="B259" s="140" t="s">
        <v>278</v>
      </c>
    </row>
    <row r="260">
      <c r="A260" s="134">
        <v>46281.0</v>
      </c>
      <c r="B260" s="140" t="s">
        <v>278</v>
      </c>
    </row>
    <row r="261">
      <c r="A261" s="134">
        <v>46282.0</v>
      </c>
      <c r="B261" s="140" t="s">
        <v>278</v>
      </c>
    </row>
    <row r="262">
      <c r="A262" s="134">
        <v>46283.0</v>
      </c>
      <c r="B262" s="140" t="s">
        <v>278</v>
      </c>
    </row>
    <row r="263">
      <c r="A263" s="134">
        <v>46284.0</v>
      </c>
      <c r="B263" s="140" t="s">
        <v>278</v>
      </c>
    </row>
    <row r="264">
      <c r="A264" s="134">
        <v>46285.0</v>
      </c>
      <c r="B264" s="140" t="s">
        <v>279</v>
      </c>
    </row>
    <row r="265">
      <c r="A265" s="134">
        <v>46286.0</v>
      </c>
      <c r="B265" s="140" t="s">
        <v>278</v>
      </c>
    </row>
    <row r="266">
      <c r="A266" s="134">
        <v>46287.0</v>
      </c>
      <c r="B266" s="140" t="s">
        <v>278</v>
      </c>
    </row>
    <row r="267">
      <c r="A267" s="134">
        <v>46288.0</v>
      </c>
      <c r="B267" s="140" t="s">
        <v>278</v>
      </c>
    </row>
    <row r="268">
      <c r="A268" s="134">
        <v>46289.0</v>
      </c>
      <c r="B268" s="140" t="s">
        <v>278</v>
      </c>
    </row>
    <row r="269">
      <c r="A269" s="134">
        <v>46290.0</v>
      </c>
      <c r="B269" s="140" t="s">
        <v>278</v>
      </c>
    </row>
    <row r="270">
      <c r="A270" s="134">
        <v>46291.0</v>
      </c>
      <c r="B270" s="140" t="s">
        <v>279</v>
      </c>
    </row>
    <row r="271">
      <c r="A271" s="134">
        <v>46292.0</v>
      </c>
      <c r="B271" s="140" t="s">
        <v>279</v>
      </c>
    </row>
    <row r="272">
      <c r="A272" s="134">
        <v>46293.0</v>
      </c>
      <c r="B272" s="140" t="s">
        <v>278</v>
      </c>
    </row>
    <row r="273">
      <c r="A273" s="134">
        <v>46294.0</v>
      </c>
      <c r="B273" s="140" t="s">
        <v>278</v>
      </c>
    </row>
    <row r="274">
      <c r="A274" s="134">
        <v>46295.0</v>
      </c>
      <c r="B274" s="140" t="s">
        <v>278</v>
      </c>
    </row>
    <row r="275">
      <c r="A275" s="134">
        <v>46296.0</v>
      </c>
      <c r="B275" s="140" t="s">
        <v>278</v>
      </c>
    </row>
    <row r="276">
      <c r="A276" s="134">
        <v>46297.0</v>
      </c>
      <c r="B276" s="140" t="s">
        <v>278</v>
      </c>
    </row>
    <row r="277">
      <c r="A277" s="134">
        <v>46298.0</v>
      </c>
      <c r="B277" s="140" t="s">
        <v>279</v>
      </c>
    </row>
    <row r="278">
      <c r="A278" s="134">
        <v>46299.0</v>
      </c>
      <c r="B278" s="140" t="s">
        <v>279</v>
      </c>
    </row>
    <row r="279">
      <c r="A279" s="134">
        <v>46300.0</v>
      </c>
      <c r="B279" s="140" t="s">
        <v>278</v>
      </c>
    </row>
    <row r="280">
      <c r="A280" s="134">
        <v>46301.0</v>
      </c>
      <c r="B280" s="140" t="s">
        <v>278</v>
      </c>
    </row>
    <row r="281">
      <c r="A281" s="134">
        <v>46302.0</v>
      </c>
      <c r="B281" s="140" t="s">
        <v>278</v>
      </c>
    </row>
    <row r="282">
      <c r="A282" s="134">
        <v>46303.0</v>
      </c>
      <c r="B282" s="140" t="s">
        <v>278</v>
      </c>
    </row>
    <row r="283">
      <c r="A283" s="134">
        <v>46304.0</v>
      </c>
      <c r="B283" s="140" t="s">
        <v>278</v>
      </c>
    </row>
    <row r="284">
      <c r="A284" s="134">
        <v>46305.0</v>
      </c>
      <c r="B284" s="140" t="s">
        <v>279</v>
      </c>
    </row>
    <row r="285">
      <c r="A285" s="134">
        <v>46306.0</v>
      </c>
      <c r="B285" s="140" t="s">
        <v>279</v>
      </c>
    </row>
    <row r="286">
      <c r="A286" s="134">
        <v>46307.0</v>
      </c>
      <c r="B286" s="140" t="s">
        <v>279</v>
      </c>
    </row>
    <row r="287">
      <c r="A287" s="134">
        <v>46308.0</v>
      </c>
      <c r="B287" s="140" t="s">
        <v>278</v>
      </c>
    </row>
    <row r="288">
      <c r="A288" s="134">
        <v>46309.0</v>
      </c>
      <c r="B288" s="140" t="s">
        <v>278</v>
      </c>
    </row>
    <row r="289">
      <c r="A289" s="134">
        <v>46310.0</v>
      </c>
      <c r="B289" s="140" t="s">
        <v>279</v>
      </c>
    </row>
    <row r="290">
      <c r="A290" s="134">
        <v>46311.0</v>
      </c>
      <c r="B290" s="140" t="s">
        <v>278</v>
      </c>
    </row>
    <row r="291">
      <c r="A291" s="134">
        <v>46312.0</v>
      </c>
      <c r="B291" s="140" t="s">
        <v>278</v>
      </c>
    </row>
    <row r="292">
      <c r="A292" s="134">
        <v>46313.0</v>
      </c>
      <c r="B292" s="140" t="s">
        <v>279</v>
      </c>
    </row>
    <row r="293">
      <c r="A293" s="134">
        <v>46314.0</v>
      </c>
      <c r="B293" s="140" t="s">
        <v>278</v>
      </c>
    </row>
    <row r="294">
      <c r="A294" s="134">
        <v>46315.0</v>
      </c>
      <c r="B294" s="140" t="s">
        <v>278</v>
      </c>
    </row>
    <row r="295">
      <c r="A295" s="134">
        <v>46316.0</v>
      </c>
      <c r="B295" s="140" t="s">
        <v>278</v>
      </c>
    </row>
    <row r="296">
      <c r="A296" s="134">
        <v>46317.0</v>
      </c>
      <c r="B296" s="140" t="s">
        <v>278</v>
      </c>
    </row>
    <row r="297">
      <c r="A297" s="134">
        <v>46318.0</v>
      </c>
      <c r="B297" s="140" t="s">
        <v>278</v>
      </c>
    </row>
    <row r="298">
      <c r="A298" s="134">
        <v>46319.0</v>
      </c>
      <c r="B298" s="140" t="s">
        <v>279</v>
      </c>
    </row>
    <row r="299">
      <c r="A299" s="134">
        <v>46320.0</v>
      </c>
      <c r="B299" s="140" t="s">
        <v>279</v>
      </c>
    </row>
    <row r="300">
      <c r="A300" s="134">
        <v>46321.0</v>
      </c>
      <c r="B300" s="140" t="s">
        <v>278</v>
      </c>
    </row>
    <row r="301">
      <c r="A301" s="134">
        <v>46322.0</v>
      </c>
      <c r="B301" s="140" t="s">
        <v>278</v>
      </c>
    </row>
    <row r="302">
      <c r="A302" s="134">
        <v>46323.0</v>
      </c>
      <c r="B302" s="140" t="s">
        <v>279</v>
      </c>
    </row>
    <row r="303">
      <c r="A303" s="134">
        <v>46324.0</v>
      </c>
      <c r="B303" s="140" t="s">
        <v>278</v>
      </c>
    </row>
    <row r="304">
      <c r="A304" s="134">
        <v>46325.0</v>
      </c>
      <c r="B304" s="140" t="s">
        <v>278</v>
      </c>
    </row>
    <row r="305">
      <c r="A305" s="134">
        <v>46326.0</v>
      </c>
      <c r="B305" s="140" t="s">
        <v>279</v>
      </c>
    </row>
    <row r="306">
      <c r="A306" s="134">
        <v>46327.0</v>
      </c>
      <c r="B306" s="140" t="s">
        <v>279</v>
      </c>
    </row>
    <row r="307">
      <c r="A307" s="134">
        <v>46328.0</v>
      </c>
      <c r="B307" s="140" t="s">
        <v>279</v>
      </c>
    </row>
    <row r="308">
      <c r="A308" s="134">
        <v>46329.0</v>
      </c>
      <c r="B308" s="140" t="s">
        <v>278</v>
      </c>
    </row>
    <row r="309">
      <c r="A309" s="134">
        <v>46330.0</v>
      </c>
      <c r="B309" s="140" t="s">
        <v>278</v>
      </c>
    </row>
    <row r="310">
      <c r="A310" s="134">
        <v>46331.0</v>
      </c>
      <c r="B310" s="140" t="s">
        <v>278</v>
      </c>
    </row>
    <row r="311">
      <c r="A311" s="134">
        <v>46332.0</v>
      </c>
      <c r="B311" s="140" t="s">
        <v>278</v>
      </c>
    </row>
    <row r="312">
      <c r="A312" s="134">
        <v>46333.0</v>
      </c>
      <c r="B312" s="140" t="s">
        <v>279</v>
      </c>
    </row>
    <row r="313">
      <c r="A313" s="134">
        <v>46334.0</v>
      </c>
      <c r="B313" s="140" t="s">
        <v>279</v>
      </c>
    </row>
    <row r="314">
      <c r="A314" s="134">
        <v>46335.0</v>
      </c>
      <c r="B314" s="140" t="s">
        <v>278</v>
      </c>
    </row>
    <row r="315">
      <c r="A315" s="134">
        <v>46336.0</v>
      </c>
      <c r="B315" s="140" t="s">
        <v>278</v>
      </c>
    </row>
    <row r="316">
      <c r="A316" s="134">
        <v>46337.0</v>
      </c>
      <c r="B316" s="140" t="s">
        <v>278</v>
      </c>
    </row>
    <row r="317">
      <c r="A317" s="134">
        <v>46338.0</v>
      </c>
      <c r="B317" s="140" t="s">
        <v>278</v>
      </c>
    </row>
    <row r="318">
      <c r="A318" s="134">
        <v>46339.0</v>
      </c>
      <c r="B318" s="140" t="s">
        <v>278</v>
      </c>
    </row>
    <row r="319">
      <c r="A319" s="134">
        <v>46340.0</v>
      </c>
      <c r="B319" s="140" t="s">
        <v>279</v>
      </c>
    </row>
    <row r="320">
      <c r="A320" s="134">
        <v>46341.0</v>
      </c>
      <c r="B320" s="140" t="s">
        <v>279</v>
      </c>
    </row>
    <row r="321">
      <c r="A321" s="134">
        <v>46342.0</v>
      </c>
      <c r="B321" s="140" t="s">
        <v>278</v>
      </c>
    </row>
    <row r="322">
      <c r="A322" s="134">
        <v>46343.0</v>
      </c>
      <c r="B322" s="140" t="s">
        <v>278</v>
      </c>
    </row>
    <row r="323">
      <c r="A323" s="134">
        <v>46344.0</v>
      </c>
      <c r="B323" s="140" t="s">
        <v>278</v>
      </c>
    </row>
    <row r="324">
      <c r="A324" s="134">
        <v>46345.0</v>
      </c>
      <c r="B324" s="140" t="s">
        <v>278</v>
      </c>
    </row>
    <row r="325">
      <c r="A325" s="134">
        <v>46346.0</v>
      </c>
      <c r="B325" s="140" t="s">
        <v>279</v>
      </c>
    </row>
    <row r="326">
      <c r="A326" s="134">
        <v>46347.0</v>
      </c>
      <c r="B326" s="140" t="s">
        <v>279</v>
      </c>
    </row>
    <row r="327">
      <c r="A327" s="134">
        <v>46348.0</v>
      </c>
      <c r="B327" s="140" t="s">
        <v>279</v>
      </c>
    </row>
    <row r="328">
      <c r="A328" s="134">
        <v>46349.0</v>
      </c>
      <c r="B328" s="140" t="s">
        <v>278</v>
      </c>
    </row>
    <row r="329">
      <c r="A329" s="134">
        <v>46350.0</v>
      </c>
      <c r="B329" s="140" t="s">
        <v>278</v>
      </c>
    </row>
    <row r="330">
      <c r="A330" s="134">
        <v>46351.0</v>
      </c>
      <c r="B330" s="140" t="s">
        <v>278</v>
      </c>
    </row>
    <row r="331">
      <c r="A331" s="134">
        <v>46352.0</v>
      </c>
      <c r="B331" s="140" t="s">
        <v>278</v>
      </c>
    </row>
    <row r="332">
      <c r="A332" s="134">
        <v>46353.0</v>
      </c>
      <c r="B332" s="140" t="s">
        <v>278</v>
      </c>
    </row>
    <row r="333">
      <c r="A333" s="134">
        <v>46354.0</v>
      </c>
      <c r="B333" s="140" t="s">
        <v>278</v>
      </c>
    </row>
    <row r="334">
      <c r="A334" s="134">
        <v>46355.0</v>
      </c>
      <c r="B334" s="140" t="s">
        <v>279</v>
      </c>
    </row>
    <row r="335">
      <c r="A335" s="134">
        <v>46356.0</v>
      </c>
      <c r="B335" s="140" t="s">
        <v>278</v>
      </c>
    </row>
    <row r="336">
      <c r="A336" s="134">
        <v>46357.0</v>
      </c>
      <c r="B336" s="140" t="s">
        <v>278</v>
      </c>
    </row>
    <row r="337">
      <c r="A337" s="134">
        <v>46358.0</v>
      </c>
      <c r="B337" s="140" t="s">
        <v>278</v>
      </c>
    </row>
    <row r="338">
      <c r="A338" s="134">
        <v>46359.0</v>
      </c>
      <c r="B338" s="140" t="s">
        <v>278</v>
      </c>
    </row>
    <row r="339">
      <c r="A339" s="134">
        <v>46360.0</v>
      </c>
      <c r="B339" s="140" t="s">
        <v>278</v>
      </c>
    </row>
    <row r="340">
      <c r="A340" s="134">
        <v>46361.0</v>
      </c>
      <c r="B340" s="140" t="s">
        <v>279</v>
      </c>
    </row>
    <row r="341">
      <c r="A341" s="134">
        <v>46362.0</v>
      </c>
      <c r="B341" s="140" t="s">
        <v>279</v>
      </c>
    </row>
    <row r="342">
      <c r="A342" s="134">
        <v>46363.0</v>
      </c>
      <c r="B342" s="140" t="s">
        <v>278</v>
      </c>
    </row>
    <row r="343">
      <c r="A343" s="134">
        <v>46364.0</v>
      </c>
      <c r="B343" s="140" t="s">
        <v>279</v>
      </c>
    </row>
    <row r="344">
      <c r="A344" s="134">
        <v>46365.0</v>
      </c>
      <c r="B344" s="140" t="s">
        <v>278</v>
      </c>
    </row>
    <row r="345">
      <c r="A345" s="134">
        <v>46366.0</v>
      </c>
      <c r="B345" s="140" t="s">
        <v>278</v>
      </c>
    </row>
    <row r="346">
      <c r="A346" s="134">
        <v>46367.0</v>
      </c>
      <c r="B346" s="140" t="s">
        <v>278</v>
      </c>
    </row>
    <row r="347">
      <c r="A347" s="134">
        <v>46368.0</v>
      </c>
      <c r="B347" s="140" t="s">
        <v>279</v>
      </c>
    </row>
    <row r="348">
      <c r="A348" s="134">
        <v>46369.0</v>
      </c>
      <c r="B348" s="140" t="s">
        <v>279</v>
      </c>
    </row>
    <row r="349">
      <c r="A349" s="134">
        <v>46370.0</v>
      </c>
      <c r="B349" s="140" t="s">
        <v>278</v>
      </c>
    </row>
    <row r="350">
      <c r="A350" s="134">
        <v>46371.0</v>
      </c>
      <c r="B350" s="140" t="s">
        <v>278</v>
      </c>
    </row>
    <row r="351">
      <c r="A351" s="134">
        <v>46372.0</v>
      </c>
      <c r="B351" s="140" t="s">
        <v>278</v>
      </c>
    </row>
    <row r="352">
      <c r="A352" s="134">
        <v>46373.0</v>
      </c>
      <c r="B352" s="140" t="s">
        <v>279</v>
      </c>
    </row>
    <row r="353">
      <c r="A353" s="134">
        <v>46374.0</v>
      </c>
      <c r="B353" s="140" t="s">
        <v>279</v>
      </c>
    </row>
    <row r="354">
      <c r="A354" s="134">
        <v>46375.0</v>
      </c>
      <c r="B354" s="140" t="s">
        <v>279</v>
      </c>
    </row>
    <row r="355">
      <c r="A355" s="134">
        <v>46376.0</v>
      </c>
      <c r="B355" s="140" t="s">
        <v>279</v>
      </c>
    </row>
    <row r="356">
      <c r="A356" s="134">
        <v>46377.0</v>
      </c>
      <c r="B356" s="140" t="s">
        <v>279</v>
      </c>
    </row>
    <row r="357">
      <c r="A357" s="134">
        <v>46378.0</v>
      </c>
      <c r="B357" s="140" t="s">
        <v>279</v>
      </c>
    </row>
    <row r="358">
      <c r="A358" s="134">
        <v>46379.0</v>
      </c>
      <c r="B358" s="140" t="s">
        <v>279</v>
      </c>
    </row>
    <row r="359">
      <c r="A359" s="134">
        <v>46380.0</v>
      </c>
      <c r="B359" s="140" t="s">
        <v>279</v>
      </c>
    </row>
    <row r="360">
      <c r="A360" s="134">
        <v>46381.0</v>
      </c>
      <c r="B360" s="140" t="s">
        <v>279</v>
      </c>
    </row>
    <row r="361">
      <c r="A361" s="134">
        <v>46382.0</v>
      </c>
      <c r="B361" s="140" t="s">
        <v>279</v>
      </c>
    </row>
    <row r="362">
      <c r="A362" s="134">
        <v>46383.0</v>
      </c>
      <c r="B362" s="140" t="s">
        <v>279</v>
      </c>
    </row>
    <row r="363">
      <c r="A363" s="134">
        <v>46384.0</v>
      </c>
      <c r="B363" s="140" t="s">
        <v>279</v>
      </c>
    </row>
    <row r="364">
      <c r="A364" s="134">
        <v>46385.0</v>
      </c>
      <c r="B364" s="140" t="s">
        <v>279</v>
      </c>
    </row>
    <row r="365">
      <c r="A365" s="134">
        <v>46386.0</v>
      </c>
      <c r="B365" s="140" t="s">
        <v>279</v>
      </c>
    </row>
    <row r="366">
      <c r="A366" s="134">
        <v>46387.0</v>
      </c>
      <c r="B366" s="140" t="s">
        <v>279</v>
      </c>
    </row>
  </sheetData>
  <autoFilter ref="$A$1:$B$366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2025-12-16T12:48:51Z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2025-12-16T00:00:00Z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2025-12-16T00:00:00Z</vt:filetime>
  </property>
</Properties>
</file>